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3759e14282732/Documents/ImageJ/"/>
    </mc:Choice>
  </mc:AlternateContent>
  <bookViews>
    <workbookView xWindow="0" yWindow="0" windowWidth="28800" windowHeight="12210" activeTab="2"/>
  </bookViews>
  <sheets>
    <sheet name="Sheet1" sheetId="1" r:id="rId1"/>
    <sheet name="Sheet3" sheetId="3" r:id="rId2"/>
    <sheet name="Sheet4" sheetId="4" r:id="rId3"/>
    <sheet name="Sheet5" sheetId="5" r:id="rId4"/>
    <sheet name="Sheet2" sheetId="2" r:id="rId5"/>
    <sheet name="Sheet6" sheetId="6" r:id="rId6"/>
  </sheets>
  <definedNames>
    <definedName name="_xlnm._FilterDatabase" localSheetId="0" hidden="1">Sheet1!$N$1:$W$226</definedName>
    <definedName name="_xlnm._FilterDatabase" localSheetId="1" hidden="1">Sheet3!$A$1:$K$101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0" i="4" l="1"/>
  <c r="D60" i="4" s="1"/>
  <c r="E60" i="4" s="1"/>
  <c r="F60" i="4" s="1"/>
  <c r="G60" i="4" s="1"/>
  <c r="H60" i="4" s="1"/>
  <c r="I60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AF60" i="4" s="1"/>
  <c r="AG60" i="4" s="1"/>
  <c r="AH60" i="4" s="1"/>
  <c r="AI60" i="4" s="1"/>
  <c r="AJ60" i="4" s="1"/>
  <c r="AK60" i="4" s="1"/>
  <c r="AL60" i="4" s="1"/>
  <c r="C59" i="4"/>
  <c r="D59" i="4" s="1"/>
  <c r="E59" i="4" s="1"/>
  <c r="F59" i="4" s="1"/>
  <c r="G59" i="4" s="1"/>
  <c r="H59" i="4" s="1"/>
  <c r="I59" i="4" s="1"/>
  <c r="J59" i="4" s="1"/>
  <c r="K59" i="4" s="1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C58" i="4"/>
  <c r="D58" i="4" s="1"/>
  <c r="E58" i="4" s="1"/>
  <c r="F58" i="4" s="1"/>
  <c r="G58" i="4" s="1"/>
  <c r="H58" i="4" s="1"/>
  <c r="I58" i="4" s="1"/>
  <c r="J58" i="4" s="1"/>
  <c r="K58" i="4" s="1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B60" i="4"/>
  <c r="B59" i="4"/>
  <c r="B58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50" i="4"/>
  <c r="B49" i="4"/>
  <c r="B48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Q2" i="6"/>
  <c r="Q3" i="6"/>
  <c r="P3" i="6"/>
  <c r="O3" i="6"/>
  <c r="N3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7" i="6"/>
  <c r="G6" i="6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B56" i="4"/>
  <c r="C56" i="4" s="1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AK56" i="4" s="1"/>
  <c r="AL56" i="4" s="1"/>
  <c r="B55" i="4"/>
  <c r="C55" i="4" s="1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AK55" i="4" s="1"/>
  <c r="AL55" i="4" s="1"/>
  <c r="B54" i="4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B53" i="4"/>
  <c r="C53" i="4" s="1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AK53" i="4" s="1"/>
  <c r="AL53" i="4" s="1"/>
  <c r="B52" i="4"/>
  <c r="C52" i="4" s="1"/>
  <c r="D52" i="4" s="1"/>
  <c r="E52" i="4" s="1"/>
  <c r="F52" i="4" s="1"/>
  <c r="G52" i="4" s="1"/>
  <c r="H52" i="4" s="1"/>
  <c r="I52" i="4" s="1"/>
  <c r="J52" i="4" s="1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AK52" i="4" s="1"/>
  <c r="AL52" i="4" s="1"/>
  <c r="X42" i="1"/>
  <c r="X43" i="1"/>
  <c r="X49" i="1"/>
  <c r="X50" i="1"/>
  <c r="X61" i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3" i="3"/>
  <c r="K4" i="3"/>
  <c r="K5" i="3"/>
  <c r="K6" i="3"/>
  <c r="K2" i="3"/>
  <c r="F10" i="1"/>
  <c r="H10" i="1" s="1"/>
  <c r="G10" i="1"/>
  <c r="I10" i="1" s="1"/>
  <c r="F11" i="1"/>
  <c r="H11" i="1" s="1"/>
  <c r="G11" i="1"/>
  <c r="I11" i="1" s="1"/>
  <c r="F12" i="1"/>
  <c r="H12" i="1" s="1"/>
  <c r="G12" i="1"/>
  <c r="I12" i="1" s="1"/>
  <c r="F13" i="1"/>
  <c r="H13" i="1" s="1"/>
  <c r="G13" i="1"/>
  <c r="I13" i="1" s="1"/>
  <c r="F14" i="1"/>
  <c r="H14" i="1" s="1"/>
  <c r="G14" i="1"/>
  <c r="I14" i="1" s="1"/>
  <c r="F15" i="1"/>
  <c r="H15" i="1" s="1"/>
  <c r="G15" i="1"/>
  <c r="I15" i="1" s="1"/>
  <c r="F16" i="1"/>
  <c r="H16" i="1" s="1"/>
  <c r="G16" i="1"/>
  <c r="I16" i="1" s="1"/>
  <c r="F17" i="1"/>
  <c r="H17" i="1" s="1"/>
  <c r="G17" i="1"/>
  <c r="I17" i="1" s="1"/>
  <c r="F18" i="1"/>
  <c r="H18" i="1" s="1"/>
  <c r="G18" i="1"/>
  <c r="I18" i="1" s="1"/>
  <c r="F19" i="1"/>
  <c r="H19" i="1" s="1"/>
  <c r="G19" i="1"/>
  <c r="I19" i="1" s="1"/>
  <c r="F20" i="1"/>
  <c r="H20" i="1" s="1"/>
  <c r="G20" i="1"/>
  <c r="I20" i="1" s="1"/>
  <c r="F21" i="1"/>
  <c r="H21" i="1" s="1"/>
  <c r="G21" i="1"/>
  <c r="I21" i="1" s="1"/>
  <c r="F22" i="1"/>
  <c r="H22" i="1" s="1"/>
  <c r="G22" i="1"/>
  <c r="I22" i="1" s="1"/>
  <c r="F23" i="1"/>
  <c r="H23" i="1" s="1"/>
  <c r="G23" i="1"/>
  <c r="I23" i="1" s="1"/>
  <c r="F24" i="1"/>
  <c r="H24" i="1" s="1"/>
  <c r="G24" i="1"/>
  <c r="I24" i="1" s="1"/>
  <c r="F25" i="1"/>
  <c r="H25" i="1" s="1"/>
  <c r="G25" i="1"/>
  <c r="I25" i="1" s="1"/>
  <c r="F26" i="1"/>
  <c r="H26" i="1" s="1"/>
  <c r="G26" i="1"/>
  <c r="I26" i="1" s="1"/>
  <c r="F27" i="1"/>
  <c r="H27" i="1" s="1"/>
  <c r="G27" i="1"/>
  <c r="I27" i="1" s="1"/>
  <c r="F28" i="1"/>
  <c r="H28" i="1" s="1"/>
  <c r="G28" i="1"/>
  <c r="I28" i="1" s="1"/>
  <c r="F29" i="1"/>
  <c r="H29" i="1" s="1"/>
  <c r="G29" i="1"/>
  <c r="I29" i="1" s="1"/>
  <c r="F30" i="1"/>
  <c r="H30" i="1" s="1"/>
  <c r="G30" i="1"/>
  <c r="I30" i="1" s="1"/>
  <c r="F31" i="1"/>
  <c r="H31" i="1" s="1"/>
  <c r="G31" i="1"/>
  <c r="I31" i="1" s="1"/>
  <c r="F32" i="1"/>
  <c r="H32" i="1" s="1"/>
  <c r="G32" i="1"/>
  <c r="I32" i="1" s="1"/>
  <c r="F33" i="1"/>
  <c r="H33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G9" i="1"/>
  <c r="I9" i="1" s="1"/>
  <c r="F9" i="1"/>
  <c r="H9" i="1" s="1"/>
  <c r="F6" i="1"/>
  <c r="G157" i="1" s="1"/>
  <c r="I157" i="1" s="1"/>
  <c r="F5" i="1"/>
  <c r="F197" i="1" s="1"/>
  <c r="H197" i="1" s="1"/>
  <c r="F4" i="1"/>
  <c r="F191" i="1" s="1"/>
  <c r="H191" i="1" s="1"/>
  <c r="F3" i="1"/>
  <c r="F195" i="1" s="1"/>
  <c r="H195" i="1" s="1"/>
  <c r="F2" i="1"/>
  <c r="F199" i="1" s="1"/>
  <c r="H199" i="1" s="1"/>
  <c r="G6" i="1"/>
  <c r="G181" i="1" s="1"/>
  <c r="I181" i="1" s="1"/>
  <c r="G5" i="1"/>
  <c r="G201" i="1" s="1"/>
  <c r="I201" i="1" s="1"/>
  <c r="G4" i="1"/>
  <c r="F211" i="1" s="1"/>
  <c r="H211" i="1" s="1"/>
  <c r="G3" i="1"/>
  <c r="G2" i="1"/>
  <c r="F209" i="1" s="1"/>
  <c r="H209" i="1" s="1"/>
  <c r="F231" i="1" l="1"/>
  <c r="H231" i="1" s="1"/>
  <c r="G219" i="1"/>
  <c r="I219" i="1" s="1"/>
  <c r="F214" i="1"/>
  <c r="H214" i="1" s="1"/>
  <c r="F207" i="1"/>
  <c r="H207" i="1" s="1"/>
  <c r="J9" i="1"/>
  <c r="F229" i="1"/>
  <c r="H229" i="1" s="1"/>
  <c r="F217" i="1"/>
  <c r="H217" i="1" s="1"/>
  <c r="J33" i="1"/>
  <c r="J31" i="1"/>
  <c r="J29" i="1"/>
  <c r="J27" i="1"/>
  <c r="J25" i="1"/>
  <c r="J23" i="1"/>
  <c r="J21" i="1"/>
  <c r="J19" i="1"/>
  <c r="J17" i="1"/>
  <c r="J15" i="1"/>
  <c r="J13" i="1"/>
  <c r="J11" i="1"/>
  <c r="F227" i="1"/>
  <c r="H227" i="1" s="1"/>
  <c r="J30" i="1"/>
  <c r="F233" i="1"/>
  <c r="H233" i="1" s="1"/>
  <c r="F222" i="1"/>
  <c r="H222" i="1" s="1"/>
  <c r="F187" i="1"/>
  <c r="H187" i="1" s="1"/>
  <c r="J28" i="1"/>
  <c r="J26" i="1"/>
  <c r="J22" i="1"/>
  <c r="J20" i="1"/>
  <c r="J18" i="1"/>
  <c r="J14" i="1"/>
  <c r="J12" i="1"/>
  <c r="J10" i="1"/>
  <c r="F60" i="1"/>
  <c r="H60" i="1" s="1"/>
  <c r="J60" i="1" s="1"/>
  <c r="F70" i="1"/>
  <c r="H70" i="1" s="1"/>
  <c r="J70" i="1" s="1"/>
  <c r="F80" i="1"/>
  <c r="H80" i="1" s="1"/>
  <c r="J80" i="1" s="1"/>
  <c r="F140" i="1"/>
  <c r="H140" i="1" s="1"/>
  <c r="F150" i="1"/>
  <c r="H150" i="1" s="1"/>
  <c r="F210" i="1"/>
  <c r="H210" i="1" s="1"/>
  <c r="G164" i="1"/>
  <c r="I164" i="1" s="1"/>
  <c r="G166" i="1"/>
  <c r="I166" i="1" s="1"/>
  <c r="J166" i="1" s="1"/>
  <c r="G168" i="1"/>
  <c r="I168" i="1" s="1"/>
  <c r="J168" i="1" s="1"/>
  <c r="G190" i="1"/>
  <c r="I190" i="1" s="1"/>
  <c r="G192" i="1"/>
  <c r="I192" i="1" s="1"/>
  <c r="G214" i="1"/>
  <c r="I214" i="1" s="1"/>
  <c r="J214" i="1" s="1"/>
  <c r="G216" i="1"/>
  <c r="I216" i="1" s="1"/>
  <c r="G218" i="1"/>
  <c r="I218" i="1" s="1"/>
  <c r="F65" i="1"/>
  <c r="H65" i="1" s="1"/>
  <c r="J65" i="1" s="1"/>
  <c r="F75" i="1"/>
  <c r="H75" i="1" s="1"/>
  <c r="J75" i="1" s="1"/>
  <c r="F135" i="1"/>
  <c r="H135" i="1" s="1"/>
  <c r="F145" i="1"/>
  <c r="H145" i="1" s="1"/>
  <c r="F155" i="1"/>
  <c r="H155" i="1" s="1"/>
  <c r="F66" i="1"/>
  <c r="H66" i="1" s="1"/>
  <c r="J66" i="1" s="1"/>
  <c r="F76" i="1"/>
  <c r="H76" i="1" s="1"/>
  <c r="J76" i="1" s="1"/>
  <c r="F136" i="1"/>
  <c r="H136" i="1" s="1"/>
  <c r="F146" i="1"/>
  <c r="H146" i="1" s="1"/>
  <c r="F156" i="1"/>
  <c r="H156" i="1" s="1"/>
  <c r="G170" i="1"/>
  <c r="I170" i="1" s="1"/>
  <c r="J170" i="1" s="1"/>
  <c r="G172" i="1"/>
  <c r="I172" i="1" s="1"/>
  <c r="G194" i="1"/>
  <c r="I194" i="1" s="1"/>
  <c r="G196" i="1"/>
  <c r="I196" i="1" s="1"/>
  <c r="G198" i="1"/>
  <c r="I198" i="1" s="1"/>
  <c r="G220" i="1"/>
  <c r="I220" i="1" s="1"/>
  <c r="G222" i="1"/>
  <c r="I222" i="1" s="1"/>
  <c r="J222" i="1" s="1"/>
  <c r="F61" i="1"/>
  <c r="H61" i="1" s="1"/>
  <c r="J61" i="1" s="1"/>
  <c r="F71" i="1"/>
  <c r="H71" i="1" s="1"/>
  <c r="J71" i="1" s="1"/>
  <c r="F81" i="1"/>
  <c r="H81" i="1" s="1"/>
  <c r="J81" i="1" s="1"/>
  <c r="F141" i="1"/>
  <c r="H141" i="1" s="1"/>
  <c r="F151" i="1"/>
  <c r="H151" i="1" s="1"/>
  <c r="F40" i="1"/>
  <c r="H40" i="1" s="1"/>
  <c r="J40" i="1" s="1"/>
  <c r="F50" i="1"/>
  <c r="H50" i="1" s="1"/>
  <c r="J50" i="1" s="1"/>
  <c r="F55" i="1"/>
  <c r="H55" i="1" s="1"/>
  <c r="J55" i="1" s="1"/>
  <c r="F110" i="1"/>
  <c r="H110" i="1" s="1"/>
  <c r="F120" i="1"/>
  <c r="H120" i="1" s="1"/>
  <c r="F130" i="1"/>
  <c r="H130" i="1" s="1"/>
  <c r="F190" i="1"/>
  <c r="H190" i="1" s="1"/>
  <c r="F200" i="1"/>
  <c r="H200" i="1" s="1"/>
  <c r="F45" i="1"/>
  <c r="H45" i="1" s="1"/>
  <c r="J45" i="1" s="1"/>
  <c r="G90" i="1"/>
  <c r="I90" i="1" s="1"/>
  <c r="J90" i="1" s="1"/>
  <c r="G92" i="1"/>
  <c r="I92" i="1" s="1"/>
  <c r="J92" i="1" s="1"/>
  <c r="G114" i="1"/>
  <c r="I114" i="1" s="1"/>
  <c r="G116" i="1"/>
  <c r="I116" i="1" s="1"/>
  <c r="G118" i="1"/>
  <c r="I118" i="1" s="1"/>
  <c r="G140" i="1"/>
  <c r="I140" i="1" s="1"/>
  <c r="G142" i="1"/>
  <c r="I142" i="1" s="1"/>
  <c r="F35" i="1"/>
  <c r="H35" i="1" s="1"/>
  <c r="J35" i="1" s="1"/>
  <c r="F115" i="1"/>
  <c r="H115" i="1" s="1"/>
  <c r="F125" i="1"/>
  <c r="H125" i="1" s="1"/>
  <c r="G89" i="1"/>
  <c r="I89" i="1" s="1"/>
  <c r="J89" i="1" s="1"/>
  <c r="G91" i="1"/>
  <c r="I91" i="1" s="1"/>
  <c r="J91" i="1" s="1"/>
  <c r="G93" i="1"/>
  <c r="I93" i="1" s="1"/>
  <c r="J93" i="1" s="1"/>
  <c r="G115" i="1"/>
  <c r="I115" i="1" s="1"/>
  <c r="G117" i="1"/>
  <c r="I117" i="1" s="1"/>
  <c r="G139" i="1"/>
  <c r="I139" i="1" s="1"/>
  <c r="G232" i="1"/>
  <c r="I232" i="1" s="1"/>
  <c r="G230" i="1"/>
  <c r="I230" i="1" s="1"/>
  <c r="G228" i="1"/>
  <c r="I228" i="1" s="1"/>
  <c r="G226" i="1"/>
  <c r="I226" i="1" s="1"/>
  <c r="F224" i="1"/>
  <c r="H224" i="1" s="1"/>
  <c r="G221" i="1"/>
  <c r="I221" i="1" s="1"/>
  <c r="F219" i="1"/>
  <c r="H219" i="1" s="1"/>
  <c r="J219" i="1" s="1"/>
  <c r="F216" i="1"/>
  <c r="H216" i="1" s="1"/>
  <c r="J216" i="1" s="1"/>
  <c r="G213" i="1"/>
  <c r="I213" i="1" s="1"/>
  <c r="G209" i="1"/>
  <c r="I209" i="1" s="1"/>
  <c r="J209" i="1" s="1"/>
  <c r="G205" i="1"/>
  <c r="I205" i="1" s="1"/>
  <c r="G197" i="1"/>
  <c r="I197" i="1" s="1"/>
  <c r="J197" i="1" s="1"/>
  <c r="G193" i="1"/>
  <c r="I193" i="1" s="1"/>
  <c r="G189" i="1"/>
  <c r="I189" i="1" s="1"/>
  <c r="G185" i="1"/>
  <c r="I185" i="1" s="1"/>
  <c r="G179" i="1"/>
  <c r="I179" i="1" s="1"/>
  <c r="J179" i="1" s="1"/>
  <c r="G171" i="1"/>
  <c r="I171" i="1" s="1"/>
  <c r="J171" i="1" s="1"/>
  <c r="G163" i="1"/>
  <c r="I163" i="1" s="1"/>
  <c r="G149" i="1"/>
  <c r="I149" i="1" s="1"/>
  <c r="G141" i="1"/>
  <c r="I141" i="1" s="1"/>
  <c r="F38" i="1"/>
  <c r="H38" i="1" s="1"/>
  <c r="J38" i="1" s="1"/>
  <c r="F48" i="1"/>
  <c r="H48" i="1" s="1"/>
  <c r="J48" i="1" s="1"/>
  <c r="F58" i="1"/>
  <c r="H58" i="1" s="1"/>
  <c r="J58" i="1" s="1"/>
  <c r="F118" i="1"/>
  <c r="H118" i="1" s="1"/>
  <c r="F128" i="1"/>
  <c r="H128" i="1" s="1"/>
  <c r="F188" i="1"/>
  <c r="H188" i="1" s="1"/>
  <c r="F198" i="1"/>
  <c r="H198" i="1" s="1"/>
  <c r="F208" i="1"/>
  <c r="H208" i="1" s="1"/>
  <c r="F53" i="1"/>
  <c r="H53" i="1" s="1"/>
  <c r="J53" i="1" s="1"/>
  <c r="G104" i="1"/>
  <c r="I104" i="1" s="1"/>
  <c r="J104" i="1" s="1"/>
  <c r="G106" i="1"/>
  <c r="I106" i="1" s="1"/>
  <c r="J106" i="1" s="1"/>
  <c r="G108" i="1"/>
  <c r="I108" i="1" s="1"/>
  <c r="G130" i="1"/>
  <c r="I130" i="1" s="1"/>
  <c r="G132" i="1"/>
  <c r="I132" i="1" s="1"/>
  <c r="G154" i="1"/>
  <c r="I154" i="1" s="1"/>
  <c r="G156" i="1"/>
  <c r="I156" i="1" s="1"/>
  <c r="G158" i="1"/>
  <c r="I158" i="1" s="1"/>
  <c r="F43" i="1"/>
  <c r="H43" i="1" s="1"/>
  <c r="J43" i="1" s="1"/>
  <c r="F113" i="1"/>
  <c r="H113" i="1" s="1"/>
  <c r="F123" i="1"/>
  <c r="H123" i="1" s="1"/>
  <c r="F133" i="1"/>
  <c r="H133" i="1" s="1"/>
  <c r="G105" i="1"/>
  <c r="I105" i="1" s="1"/>
  <c r="J105" i="1" s="1"/>
  <c r="G107" i="1"/>
  <c r="I107" i="1" s="1"/>
  <c r="J107" i="1" s="1"/>
  <c r="G129" i="1"/>
  <c r="I129" i="1" s="1"/>
  <c r="G131" i="1"/>
  <c r="I131" i="1" s="1"/>
  <c r="G133" i="1"/>
  <c r="I133" i="1" s="1"/>
  <c r="F225" i="1"/>
  <c r="H225" i="1" s="1"/>
  <c r="F62" i="1"/>
  <c r="H62" i="1" s="1"/>
  <c r="J62" i="1" s="1"/>
  <c r="F72" i="1"/>
  <c r="H72" i="1" s="1"/>
  <c r="J72" i="1" s="1"/>
  <c r="F82" i="1"/>
  <c r="H82" i="1" s="1"/>
  <c r="J82" i="1" s="1"/>
  <c r="F142" i="1"/>
  <c r="H142" i="1" s="1"/>
  <c r="F152" i="1"/>
  <c r="H152" i="1" s="1"/>
  <c r="F212" i="1"/>
  <c r="H212" i="1" s="1"/>
  <c r="G174" i="1"/>
  <c r="I174" i="1" s="1"/>
  <c r="J174" i="1" s="1"/>
  <c r="G176" i="1"/>
  <c r="I176" i="1" s="1"/>
  <c r="J176" i="1" s="1"/>
  <c r="G178" i="1"/>
  <c r="I178" i="1" s="1"/>
  <c r="J178" i="1" s="1"/>
  <c r="G200" i="1"/>
  <c r="I200" i="1" s="1"/>
  <c r="G202" i="1"/>
  <c r="I202" i="1" s="1"/>
  <c r="G224" i="1"/>
  <c r="I224" i="1" s="1"/>
  <c r="F67" i="1"/>
  <c r="H67" i="1" s="1"/>
  <c r="J67" i="1" s="1"/>
  <c r="F77" i="1"/>
  <c r="H77" i="1" s="1"/>
  <c r="J77" i="1" s="1"/>
  <c r="F137" i="1"/>
  <c r="H137" i="1" s="1"/>
  <c r="F147" i="1"/>
  <c r="H147" i="1" s="1"/>
  <c r="F157" i="1"/>
  <c r="H157" i="1" s="1"/>
  <c r="J157" i="1" s="1"/>
  <c r="F36" i="1"/>
  <c r="H36" i="1" s="1"/>
  <c r="J36" i="1" s="1"/>
  <c r="F46" i="1"/>
  <c r="H46" i="1" s="1"/>
  <c r="J46" i="1" s="1"/>
  <c r="F56" i="1"/>
  <c r="H56" i="1" s="1"/>
  <c r="J56" i="1" s="1"/>
  <c r="F116" i="1"/>
  <c r="H116" i="1" s="1"/>
  <c r="F126" i="1"/>
  <c r="H126" i="1" s="1"/>
  <c r="F186" i="1"/>
  <c r="H186" i="1" s="1"/>
  <c r="F196" i="1"/>
  <c r="H196" i="1" s="1"/>
  <c r="F206" i="1"/>
  <c r="H206" i="1" s="1"/>
  <c r="G94" i="1"/>
  <c r="I94" i="1" s="1"/>
  <c r="G96" i="1"/>
  <c r="I96" i="1" s="1"/>
  <c r="J96" i="1" s="1"/>
  <c r="G98" i="1"/>
  <c r="I98" i="1" s="1"/>
  <c r="J98" i="1" s="1"/>
  <c r="G120" i="1"/>
  <c r="I120" i="1" s="1"/>
  <c r="G122" i="1"/>
  <c r="I122" i="1" s="1"/>
  <c r="G144" i="1"/>
  <c r="I144" i="1" s="1"/>
  <c r="G146" i="1"/>
  <c r="I146" i="1" s="1"/>
  <c r="G148" i="1"/>
  <c r="I148" i="1" s="1"/>
  <c r="F51" i="1"/>
  <c r="H51" i="1" s="1"/>
  <c r="J51" i="1" s="1"/>
  <c r="F111" i="1"/>
  <c r="H111" i="1" s="1"/>
  <c r="F121" i="1"/>
  <c r="H121" i="1" s="1"/>
  <c r="J121" i="1" s="1"/>
  <c r="F131" i="1"/>
  <c r="H131" i="1" s="1"/>
  <c r="F41" i="1"/>
  <c r="H41" i="1" s="1"/>
  <c r="J41" i="1" s="1"/>
  <c r="G95" i="1"/>
  <c r="I95" i="1" s="1"/>
  <c r="J95" i="1" s="1"/>
  <c r="G97" i="1"/>
  <c r="I97" i="1" s="1"/>
  <c r="J97" i="1" s="1"/>
  <c r="G119" i="1"/>
  <c r="I119" i="1" s="1"/>
  <c r="G121" i="1"/>
  <c r="I121" i="1" s="1"/>
  <c r="G123" i="1"/>
  <c r="I123" i="1" s="1"/>
  <c r="F232" i="1"/>
  <c r="H232" i="1" s="1"/>
  <c r="J232" i="1" s="1"/>
  <c r="F230" i="1"/>
  <c r="H230" i="1" s="1"/>
  <c r="F228" i="1"/>
  <c r="H228" i="1" s="1"/>
  <c r="F226" i="1"/>
  <c r="H226" i="1" s="1"/>
  <c r="G223" i="1"/>
  <c r="I223" i="1" s="1"/>
  <c r="F221" i="1"/>
  <c r="H221" i="1" s="1"/>
  <c r="F218" i="1"/>
  <c r="H218" i="1" s="1"/>
  <c r="J218" i="1" s="1"/>
  <c r="G215" i="1"/>
  <c r="I215" i="1" s="1"/>
  <c r="F213" i="1"/>
  <c r="H213" i="1" s="1"/>
  <c r="J213" i="1" s="1"/>
  <c r="F205" i="1"/>
  <c r="H205" i="1" s="1"/>
  <c r="F201" i="1"/>
  <c r="H201" i="1" s="1"/>
  <c r="J201" i="1" s="1"/>
  <c r="F193" i="1"/>
  <c r="H193" i="1" s="1"/>
  <c r="F189" i="1"/>
  <c r="H189" i="1" s="1"/>
  <c r="F185" i="1"/>
  <c r="H185" i="1" s="1"/>
  <c r="G173" i="1"/>
  <c r="I173" i="1" s="1"/>
  <c r="J173" i="1" s="1"/>
  <c r="G165" i="1"/>
  <c r="I165" i="1" s="1"/>
  <c r="J165" i="1" s="1"/>
  <c r="J163" i="1"/>
  <c r="G155" i="1"/>
  <c r="I155" i="1" s="1"/>
  <c r="G147" i="1"/>
  <c r="I147" i="1" s="1"/>
  <c r="F203" i="1"/>
  <c r="H203" i="1" s="1"/>
  <c r="F64" i="1"/>
  <c r="H64" i="1" s="1"/>
  <c r="J64" i="1" s="1"/>
  <c r="F74" i="1"/>
  <c r="H74" i="1" s="1"/>
  <c r="J74" i="1" s="1"/>
  <c r="F134" i="1"/>
  <c r="H134" i="1" s="1"/>
  <c r="F144" i="1"/>
  <c r="H144" i="1" s="1"/>
  <c r="F154" i="1"/>
  <c r="H154" i="1" s="1"/>
  <c r="G160" i="1"/>
  <c r="I160" i="1" s="1"/>
  <c r="J160" i="1" s="1"/>
  <c r="G162" i="1"/>
  <c r="I162" i="1" s="1"/>
  <c r="J162" i="1" s="1"/>
  <c r="G184" i="1"/>
  <c r="I184" i="1" s="1"/>
  <c r="G186" i="1"/>
  <c r="I186" i="1" s="1"/>
  <c r="G188" i="1"/>
  <c r="I188" i="1" s="1"/>
  <c r="G210" i="1"/>
  <c r="I210" i="1" s="1"/>
  <c r="G212" i="1"/>
  <c r="I212" i="1" s="1"/>
  <c r="F59" i="1"/>
  <c r="H59" i="1" s="1"/>
  <c r="J59" i="1" s="1"/>
  <c r="F69" i="1"/>
  <c r="H69" i="1" s="1"/>
  <c r="J69" i="1" s="1"/>
  <c r="F79" i="1"/>
  <c r="H79" i="1" s="1"/>
  <c r="J79" i="1" s="1"/>
  <c r="F139" i="1"/>
  <c r="H139" i="1" s="1"/>
  <c r="F149" i="1"/>
  <c r="H149" i="1" s="1"/>
  <c r="F68" i="1"/>
  <c r="H68" i="1" s="1"/>
  <c r="J68" i="1" s="1"/>
  <c r="F78" i="1"/>
  <c r="H78" i="1" s="1"/>
  <c r="J78" i="1" s="1"/>
  <c r="F138" i="1"/>
  <c r="H138" i="1" s="1"/>
  <c r="F148" i="1"/>
  <c r="H148" i="1" s="1"/>
  <c r="F158" i="1"/>
  <c r="H158" i="1" s="1"/>
  <c r="G180" i="1"/>
  <c r="I180" i="1" s="1"/>
  <c r="J180" i="1" s="1"/>
  <c r="G182" i="1"/>
  <c r="I182" i="1" s="1"/>
  <c r="J182" i="1" s="1"/>
  <c r="G204" i="1"/>
  <c r="I204" i="1" s="1"/>
  <c r="G206" i="1"/>
  <c r="I206" i="1" s="1"/>
  <c r="G208" i="1"/>
  <c r="I208" i="1" s="1"/>
  <c r="F63" i="1"/>
  <c r="H63" i="1" s="1"/>
  <c r="J63" i="1" s="1"/>
  <c r="F73" i="1"/>
  <c r="H73" i="1" s="1"/>
  <c r="J73" i="1" s="1"/>
  <c r="F83" i="1"/>
  <c r="H83" i="1" s="1"/>
  <c r="J83" i="1" s="1"/>
  <c r="F143" i="1"/>
  <c r="H143" i="1" s="1"/>
  <c r="F153" i="1"/>
  <c r="H153" i="1" s="1"/>
  <c r="F42" i="1"/>
  <c r="H42" i="1" s="1"/>
  <c r="J42" i="1" s="1"/>
  <c r="F52" i="1"/>
  <c r="H52" i="1" s="1"/>
  <c r="J52" i="1" s="1"/>
  <c r="F47" i="1"/>
  <c r="H47" i="1" s="1"/>
  <c r="J47" i="1" s="1"/>
  <c r="F112" i="1"/>
  <c r="H112" i="1" s="1"/>
  <c r="F122" i="1"/>
  <c r="H122" i="1" s="1"/>
  <c r="J122" i="1" s="1"/>
  <c r="F132" i="1"/>
  <c r="H132" i="1" s="1"/>
  <c r="F192" i="1"/>
  <c r="H192" i="1" s="1"/>
  <c r="J192" i="1" s="1"/>
  <c r="F202" i="1"/>
  <c r="H202" i="1" s="1"/>
  <c r="F37" i="1"/>
  <c r="H37" i="1" s="1"/>
  <c r="J37" i="1" s="1"/>
  <c r="G100" i="1"/>
  <c r="I100" i="1" s="1"/>
  <c r="J100" i="1" s="1"/>
  <c r="G102" i="1"/>
  <c r="I102" i="1" s="1"/>
  <c r="J102" i="1" s="1"/>
  <c r="G124" i="1"/>
  <c r="I124" i="1" s="1"/>
  <c r="G126" i="1"/>
  <c r="I126" i="1" s="1"/>
  <c r="G128" i="1"/>
  <c r="I128" i="1" s="1"/>
  <c r="G150" i="1"/>
  <c r="I150" i="1" s="1"/>
  <c r="G152" i="1"/>
  <c r="I152" i="1" s="1"/>
  <c r="F117" i="1"/>
  <c r="H117" i="1" s="1"/>
  <c r="F127" i="1"/>
  <c r="H127" i="1" s="1"/>
  <c r="F57" i="1"/>
  <c r="H57" i="1" s="1"/>
  <c r="J57" i="1" s="1"/>
  <c r="G99" i="1"/>
  <c r="I99" i="1" s="1"/>
  <c r="J99" i="1" s="1"/>
  <c r="G101" i="1"/>
  <c r="I101" i="1" s="1"/>
  <c r="J101" i="1" s="1"/>
  <c r="G103" i="1"/>
  <c r="I103" i="1" s="1"/>
  <c r="J103" i="1" s="1"/>
  <c r="G125" i="1"/>
  <c r="I125" i="1" s="1"/>
  <c r="G127" i="1"/>
  <c r="I127" i="1" s="1"/>
  <c r="G233" i="1"/>
  <c r="I233" i="1" s="1"/>
  <c r="J233" i="1" s="1"/>
  <c r="G231" i="1"/>
  <c r="I231" i="1" s="1"/>
  <c r="G229" i="1"/>
  <c r="I229" i="1" s="1"/>
  <c r="J229" i="1" s="1"/>
  <c r="G227" i="1"/>
  <c r="I227" i="1" s="1"/>
  <c r="G225" i="1"/>
  <c r="I225" i="1" s="1"/>
  <c r="F223" i="1"/>
  <c r="H223" i="1" s="1"/>
  <c r="F220" i="1"/>
  <c r="H220" i="1" s="1"/>
  <c r="J220" i="1" s="1"/>
  <c r="G217" i="1"/>
  <c r="I217" i="1" s="1"/>
  <c r="J217" i="1" s="1"/>
  <c r="F215" i="1"/>
  <c r="H215" i="1" s="1"/>
  <c r="G211" i="1"/>
  <c r="I211" i="1" s="1"/>
  <c r="J211" i="1" s="1"/>
  <c r="G207" i="1"/>
  <c r="I207" i="1" s="1"/>
  <c r="G203" i="1"/>
  <c r="I203" i="1" s="1"/>
  <c r="G199" i="1"/>
  <c r="I199" i="1" s="1"/>
  <c r="J199" i="1" s="1"/>
  <c r="G195" i="1"/>
  <c r="I195" i="1" s="1"/>
  <c r="J195" i="1" s="1"/>
  <c r="G191" i="1"/>
  <c r="I191" i="1" s="1"/>
  <c r="J191" i="1" s="1"/>
  <c r="G187" i="1"/>
  <c r="I187" i="1" s="1"/>
  <c r="G183" i="1"/>
  <c r="I183" i="1" s="1"/>
  <c r="J183" i="1" s="1"/>
  <c r="J181" i="1"/>
  <c r="G175" i="1"/>
  <c r="I175" i="1" s="1"/>
  <c r="J175" i="1" s="1"/>
  <c r="G167" i="1"/>
  <c r="I167" i="1" s="1"/>
  <c r="J167" i="1" s="1"/>
  <c r="G159" i="1"/>
  <c r="I159" i="1" s="1"/>
  <c r="J159" i="1" s="1"/>
  <c r="G153" i="1"/>
  <c r="I153" i="1" s="1"/>
  <c r="G145" i="1"/>
  <c r="I145" i="1" s="1"/>
  <c r="F34" i="1"/>
  <c r="H34" i="1" s="1"/>
  <c r="J34" i="1" s="1"/>
  <c r="F44" i="1"/>
  <c r="H44" i="1" s="1"/>
  <c r="J44" i="1" s="1"/>
  <c r="F54" i="1"/>
  <c r="H54" i="1" s="1"/>
  <c r="J54" i="1" s="1"/>
  <c r="F39" i="1"/>
  <c r="H39" i="1" s="1"/>
  <c r="J39" i="1" s="1"/>
  <c r="F114" i="1"/>
  <c r="H114" i="1" s="1"/>
  <c r="F124" i="1"/>
  <c r="H124" i="1" s="1"/>
  <c r="F184" i="1"/>
  <c r="H184" i="1" s="1"/>
  <c r="J184" i="1" s="1"/>
  <c r="F194" i="1"/>
  <c r="H194" i="1" s="1"/>
  <c r="F204" i="1"/>
  <c r="H204" i="1" s="1"/>
  <c r="G84" i="1"/>
  <c r="I84" i="1" s="1"/>
  <c r="J84" i="1" s="1"/>
  <c r="G86" i="1"/>
  <c r="I86" i="1" s="1"/>
  <c r="J86" i="1" s="1"/>
  <c r="G88" i="1"/>
  <c r="I88" i="1" s="1"/>
  <c r="J88" i="1" s="1"/>
  <c r="G110" i="1"/>
  <c r="I110" i="1" s="1"/>
  <c r="G112" i="1"/>
  <c r="I112" i="1" s="1"/>
  <c r="G134" i="1"/>
  <c r="I134" i="1" s="1"/>
  <c r="G136" i="1"/>
  <c r="I136" i="1" s="1"/>
  <c r="G138" i="1"/>
  <c r="I138" i="1" s="1"/>
  <c r="F109" i="1"/>
  <c r="H109" i="1" s="1"/>
  <c r="F119" i="1"/>
  <c r="H119" i="1" s="1"/>
  <c r="F129" i="1"/>
  <c r="H129" i="1" s="1"/>
  <c r="F49" i="1"/>
  <c r="H49" i="1" s="1"/>
  <c r="J49" i="1" s="1"/>
  <c r="G85" i="1"/>
  <c r="I85" i="1" s="1"/>
  <c r="J85" i="1" s="1"/>
  <c r="G87" i="1"/>
  <c r="I87" i="1" s="1"/>
  <c r="J87" i="1" s="1"/>
  <c r="G109" i="1"/>
  <c r="I109" i="1" s="1"/>
  <c r="G111" i="1"/>
  <c r="I111" i="1" s="1"/>
  <c r="G113" i="1"/>
  <c r="I113" i="1" s="1"/>
  <c r="G135" i="1"/>
  <c r="I135" i="1" s="1"/>
  <c r="G137" i="1"/>
  <c r="I137" i="1" s="1"/>
  <c r="G177" i="1"/>
  <c r="I177" i="1" s="1"/>
  <c r="J177" i="1" s="1"/>
  <c r="J172" i="1"/>
  <c r="G169" i="1"/>
  <c r="I169" i="1" s="1"/>
  <c r="J169" i="1" s="1"/>
  <c r="J164" i="1"/>
  <c r="G161" i="1"/>
  <c r="I161" i="1" s="1"/>
  <c r="J161" i="1" s="1"/>
  <c r="G151" i="1"/>
  <c r="I151" i="1" s="1"/>
  <c r="G143" i="1"/>
  <c r="I143" i="1" s="1"/>
  <c r="J108" i="1"/>
  <c r="J94" i="1"/>
  <c r="J32" i="1"/>
  <c r="J24" i="1"/>
  <c r="J16" i="1"/>
  <c r="J231" i="1" l="1"/>
  <c r="J119" i="1"/>
  <c r="J193" i="1"/>
  <c r="J204" i="1"/>
  <c r="J158" i="1"/>
  <c r="J118" i="1"/>
  <c r="J207" i="1"/>
  <c r="J114" i="1"/>
  <c r="J149" i="1"/>
  <c r="J154" i="1"/>
  <c r="J227" i="1"/>
  <c r="J196" i="1"/>
  <c r="J142" i="1"/>
  <c r="J109" i="1"/>
  <c r="J186" i="1"/>
  <c r="J187" i="1"/>
  <c r="J127" i="1"/>
  <c r="J190" i="1"/>
  <c r="J140" i="1"/>
  <c r="J129" i="1"/>
  <c r="J194" i="1"/>
  <c r="J115" i="1"/>
  <c r="J221" i="1"/>
  <c r="J230" i="1"/>
  <c r="J188" i="1"/>
  <c r="J120" i="1"/>
  <c r="J111" i="1"/>
  <c r="J124" i="1"/>
  <c r="J189" i="1"/>
  <c r="J147" i="1"/>
  <c r="J200" i="1"/>
  <c r="J156" i="1"/>
  <c r="J143" i="1"/>
  <c r="J135" i="1"/>
  <c r="J150" i="1"/>
  <c r="J226" i="1"/>
  <c r="J133" i="1"/>
  <c r="J128" i="1"/>
  <c r="J110" i="1"/>
  <c r="J151" i="1"/>
  <c r="J223" i="1"/>
  <c r="J132" i="1"/>
  <c r="J137" i="1"/>
  <c r="J215" i="1"/>
  <c r="J117" i="1"/>
  <c r="J148" i="1"/>
  <c r="J228" i="1"/>
  <c r="J126" i="1"/>
  <c r="J212" i="1"/>
  <c r="J225" i="1"/>
  <c r="J123" i="1"/>
  <c r="J208" i="1"/>
  <c r="J125" i="1"/>
  <c r="J141" i="1"/>
  <c r="J146" i="1"/>
  <c r="J155" i="1"/>
  <c r="J134" i="1"/>
  <c r="J202" i="1"/>
  <c r="J112" i="1"/>
  <c r="J153" i="1"/>
  <c r="J138" i="1"/>
  <c r="J139" i="1"/>
  <c r="J144" i="1"/>
  <c r="J203" i="1"/>
  <c r="J185" i="1"/>
  <c r="J205" i="1"/>
  <c r="J131" i="1"/>
  <c r="J206" i="1"/>
  <c r="J116" i="1"/>
  <c r="J152" i="1"/>
  <c r="J113" i="1"/>
  <c r="J198" i="1"/>
  <c r="J224" i="1"/>
  <c r="J130" i="1"/>
  <c r="J136" i="1"/>
  <c r="J145" i="1"/>
  <c r="J210" i="1"/>
</calcChain>
</file>

<file path=xl/sharedStrings.xml><?xml version="1.0" encoding="utf-8"?>
<sst xmlns="http://schemas.openxmlformats.org/spreadsheetml/2006/main" count="1093" uniqueCount="75">
  <si>
    <t>r</t>
  </si>
  <si>
    <t>g</t>
  </si>
  <si>
    <t>b</t>
  </si>
  <si>
    <t>PMD Colors</t>
  </si>
  <si>
    <t>i1</t>
  </si>
  <si>
    <t>i2</t>
  </si>
  <si>
    <t>id</t>
  </si>
  <si>
    <t>col1</t>
  </si>
  <si>
    <t>col2</t>
  </si>
  <si>
    <t>rgb1</t>
  </si>
  <si>
    <t>rgb2</t>
  </si>
  <si>
    <t>rgb0</t>
  </si>
  <si>
    <t>0</t>
  </si>
  <si>
    <t>7F</t>
  </si>
  <si>
    <t>3F</t>
  </si>
  <si>
    <t>7F8000</t>
  </si>
  <si>
    <t>3FC000</t>
  </si>
  <si>
    <t>7F807F</t>
  </si>
  <si>
    <t>3FC03F</t>
  </si>
  <si>
    <t>7F80</t>
  </si>
  <si>
    <t>3FC0</t>
  </si>
  <si>
    <t>FF</t>
  </si>
  <si>
    <t>FF0000</t>
  </si>
  <si>
    <t>FF00FF</t>
  </si>
  <si>
    <t>FF00</t>
  </si>
  <si>
    <t>3FC07F</t>
  </si>
  <si>
    <t>3FFF</t>
  </si>
  <si>
    <t>7F803F</t>
  </si>
  <si>
    <t>3FFFC0</t>
  </si>
  <si>
    <t>3FFFFF</t>
  </si>
  <si>
    <t>BF</t>
  </si>
  <si>
    <t>7F80BF</t>
  </si>
  <si>
    <t>7FBF</t>
  </si>
  <si>
    <t>BF4000</t>
  </si>
  <si>
    <t>BF407F</t>
  </si>
  <si>
    <t>403F80</t>
  </si>
  <si>
    <t>3FC0BF</t>
  </si>
  <si>
    <t>BF403F</t>
  </si>
  <si>
    <t>BF40BF</t>
  </si>
  <si>
    <t>403FBF</t>
  </si>
  <si>
    <t>403F</t>
  </si>
  <si>
    <t>7FBFC0</t>
  </si>
  <si>
    <t>7FC03F</t>
  </si>
  <si>
    <t>BF40</t>
  </si>
  <si>
    <t>7F80FF</t>
  </si>
  <si>
    <t>7FFF</t>
  </si>
  <si>
    <t>FF007F</t>
  </si>
  <si>
    <t>7FFF80</t>
  </si>
  <si>
    <t>7FFFFF</t>
  </si>
  <si>
    <t>res</t>
  </si>
  <si>
    <t>uniq</t>
  </si>
  <si>
    <t>id0</t>
  </si>
  <si>
    <t>x=0;</t>
  </si>
  <si>
    <t>for (i=0; i&lt;3; i++) {</t>
  </si>
  <si>
    <t xml:space="preserve"> for (j=0; j&lt;3; j++) {</t>
  </si>
  <si>
    <t xml:space="preserve">  for (a=0; a&lt;=4; a++) {</t>
  </si>
  <si>
    <t xml:space="preserve">   for (b=0; b&lt;=4; b++) {</t>
  </si>
  <si>
    <t xml:space="preserve">    setResult("id",x,x);</t>
  </si>
  <si>
    <t xml:space="preserve">    setResult("col1",x,b);</t>
  </si>
  <si>
    <t xml:space="preserve">    setResult("col2",x,a);</t>
  </si>
  <si>
    <t xml:space="preserve">    setResult("i1",x,j);</t>
  </si>
  <si>
    <t xml:space="preserve">    setResult("i2",x,i);</t>
  </si>
  <si>
    <t xml:space="preserve">    x++;</t>
  </si>
  <si>
    <t xml:space="preserve">   }</t>
  </si>
  <si>
    <t xml:space="preserve">  }</t>
  </si>
  <si>
    <t xml:space="preserve"> }</t>
  </si>
  <si>
    <t>}</t>
  </si>
  <si>
    <t>updateResults;</t>
  </si>
  <si>
    <t>newArray(</t>
  </si>
  <si>
    <t>resdec</t>
  </si>
  <si>
    <t>p1</t>
  </si>
  <si>
    <t>p2</t>
  </si>
  <si>
    <t>p3</t>
  </si>
  <si>
    <t>ff0000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</si>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</sst>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33"/>
  <sheetViews>
    <sheetView topLeftCell="K1" zoomScaleNormal="100" workbookViewId="0">
      <pane ySplit="1" topLeftCell="A2" activePane="bottomLeft" state="frozen"/>
      <selection pane="bottomLeft" activeCell="W203" sqref="W203"/>
    </sheetView>
  </sheetViews>
  <sheetFormatPr defaultRowHeight="15"/>
  <cols>
    <col min="2" max="2" width="6.85546875" customWidth="1"/>
    <col min="3" max="5" width="6.85546875" style="1" customWidth="1"/>
    <col min="6" max="6" width="10.140625" style="1" customWidth="1"/>
  </cols>
  <sheetData>
    <row r="1" spans="1:23">
      <c r="A1" t="s">
        <v>3</v>
      </c>
      <c r="B1" s="2" t="s">
        <v>0</v>
      </c>
      <c r="C1" s="3" t="s">
        <v>1</v>
      </c>
      <c r="D1" s="4" t="s">
        <v>2</v>
      </c>
      <c r="E1" s="1" t="s">
        <v>11</v>
      </c>
      <c r="F1" s="1" t="s">
        <v>9</v>
      </c>
      <c r="G1" s="1" t="s">
        <v>10</v>
      </c>
      <c r="N1" s="5" t="s">
        <v>6</v>
      </c>
      <c r="O1" s="5" t="s">
        <v>7</v>
      </c>
      <c r="P1" s="5" t="s">
        <v>8</v>
      </c>
      <c r="Q1" s="5" t="s">
        <v>4</v>
      </c>
      <c r="R1" s="5" t="s">
        <v>5</v>
      </c>
      <c r="S1" s="5" t="s">
        <v>9</v>
      </c>
      <c r="T1" s="5" t="s">
        <v>10</v>
      </c>
      <c r="U1" s="5" t="s">
        <v>9</v>
      </c>
      <c r="V1" s="5" t="s">
        <v>10</v>
      </c>
      <c r="W1" s="5" t="s">
        <v>49</v>
      </c>
    </row>
    <row r="2" spans="1:23" hidden="1">
      <c r="A2">
        <v>0</v>
      </c>
      <c r="B2" s="1">
        <v>0</v>
      </c>
      <c r="C2" s="1">
        <v>0</v>
      </c>
      <c r="D2" s="1">
        <v>0</v>
      </c>
      <c r="E2" s="1">
        <v>0</v>
      </c>
      <c r="F2" s="1" t="str">
        <f>DEC2HEX(B2*65536/2+C2*256/2+D2/2)</f>
        <v>0</v>
      </c>
      <c r="G2" s="1" t="str">
        <f>DEC2HEX(B2*65536+C2*256+D2)</f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 t="s">
        <v>12</v>
      </c>
    </row>
    <row r="3" spans="1:23" hidden="1">
      <c r="A3">
        <v>1</v>
      </c>
      <c r="B3" s="1">
        <v>0</v>
      </c>
      <c r="C3" s="1">
        <v>0</v>
      </c>
      <c r="D3" s="1">
        <v>255</v>
      </c>
      <c r="E3" s="1">
        <v>0</v>
      </c>
      <c r="F3" s="1" t="str">
        <f>DEC2HEX(B3*65536/2+C3*256/2+D3/2)</f>
        <v>7F</v>
      </c>
      <c r="G3" s="1" t="str">
        <f>DEC2HEX(B3*65536+C3*256+D3)</f>
        <v>FF</v>
      </c>
      <c r="N3" s="1">
        <v>1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 t="s">
        <v>12</v>
      </c>
    </row>
    <row r="4" spans="1:23" hidden="1">
      <c r="A4">
        <v>2</v>
      </c>
      <c r="B4" s="1">
        <v>255</v>
      </c>
      <c r="C4" s="1">
        <v>0</v>
      </c>
      <c r="D4" s="1">
        <v>0</v>
      </c>
      <c r="E4" s="1">
        <v>0</v>
      </c>
      <c r="F4" s="1" t="str">
        <f>DEC2HEX(B4*65536/2+C4*256/2+D4/2)</f>
        <v>7F8000</v>
      </c>
      <c r="G4" s="1" t="str">
        <f>DEC2HEX(B4*65536+C4*256+D4)</f>
        <v>FF0000</v>
      </c>
      <c r="N4" s="1">
        <v>2</v>
      </c>
      <c r="O4" s="1">
        <v>2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 t="s">
        <v>12</v>
      </c>
    </row>
    <row r="5" spans="1:23" hidden="1">
      <c r="A5">
        <v>3</v>
      </c>
      <c r="B5" s="1">
        <v>255</v>
      </c>
      <c r="C5" s="1">
        <v>0</v>
      </c>
      <c r="D5" s="1">
        <v>255</v>
      </c>
      <c r="E5" s="1">
        <v>0</v>
      </c>
      <c r="F5" s="1" t="str">
        <f>DEC2HEX(B5*65536/2+C5*256/2+D5/2)</f>
        <v>7F807F</v>
      </c>
      <c r="G5" s="1" t="str">
        <f>DEC2HEX(B5*65536+C5*256+D5)</f>
        <v>FF00FF</v>
      </c>
      <c r="N5" s="1">
        <v>3</v>
      </c>
      <c r="O5" s="1">
        <v>3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12</v>
      </c>
    </row>
    <row r="6" spans="1:23" hidden="1">
      <c r="A6">
        <v>4</v>
      </c>
      <c r="B6" s="1">
        <v>0</v>
      </c>
      <c r="C6" s="1">
        <v>255</v>
      </c>
      <c r="D6" s="1">
        <v>0</v>
      </c>
      <c r="E6" s="1">
        <v>0</v>
      </c>
      <c r="F6" s="1" t="str">
        <f>DEC2HEX(B6*65536/2+C6*256/2+D6/2)</f>
        <v>7F80</v>
      </c>
      <c r="G6" s="1" t="str">
        <f>DEC2HEX(B6*65536+C6*256+D6)</f>
        <v>FF00</v>
      </c>
      <c r="N6" s="1">
        <v>4</v>
      </c>
      <c r="O6" s="1">
        <v>4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12</v>
      </c>
    </row>
    <row r="7" spans="1:23" hidden="1">
      <c r="B7" s="1"/>
      <c r="N7" s="1">
        <v>5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12</v>
      </c>
    </row>
    <row r="8" spans="1:23" hidden="1">
      <c r="A8" t="s">
        <v>6</v>
      </c>
      <c r="B8" s="1" t="s">
        <v>7</v>
      </c>
      <c r="C8" s="1" t="s">
        <v>8</v>
      </c>
      <c r="D8" s="1" t="s">
        <v>4</v>
      </c>
      <c r="E8" s="1" t="s">
        <v>5</v>
      </c>
      <c r="F8"/>
      <c r="N8" s="1">
        <v>6</v>
      </c>
      <c r="O8" s="1">
        <v>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12</v>
      </c>
    </row>
    <row r="9" spans="1:23" hidden="1">
      <c r="A9">
        <v>0</v>
      </c>
      <c r="B9" s="1">
        <v>0</v>
      </c>
      <c r="C9" s="1">
        <v>0</v>
      </c>
      <c r="D9" s="1">
        <v>0</v>
      </c>
      <c r="E9" s="1">
        <v>0</v>
      </c>
      <c r="F9">
        <f>VLOOKUP(B9,$A$2:$G$6,5+D9,0)</f>
        <v>0</v>
      </c>
      <c r="G9">
        <f>VLOOKUP(C9,$A$2:$G$6,5+E9,0)</f>
        <v>0</v>
      </c>
      <c r="H9">
        <f>HEX2DEC(F9)</f>
        <v>0</v>
      </c>
      <c r="I9">
        <f>HEX2DEC(G9)</f>
        <v>0</v>
      </c>
      <c r="J9" t="str">
        <f>DEC2HEX((H9+I9)/2)</f>
        <v>0</v>
      </c>
      <c r="N9" s="1">
        <v>7</v>
      </c>
      <c r="O9" s="1">
        <v>2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12</v>
      </c>
    </row>
    <row r="10" spans="1:23" hidden="1">
      <c r="A10">
        <v>1</v>
      </c>
      <c r="B10" s="1">
        <v>1</v>
      </c>
      <c r="C10" s="1">
        <v>0</v>
      </c>
      <c r="D10" s="1">
        <v>0</v>
      </c>
      <c r="E10" s="1">
        <v>0</v>
      </c>
      <c r="F10">
        <f t="shared" ref="F10:F73" si="0">VLOOKUP(B10,$A$2:$G$6,5+D10,0)</f>
        <v>0</v>
      </c>
      <c r="G10">
        <f t="shared" ref="G10:G73" si="1">VLOOKUP(C10,$A$2:$G$6,5+E10,0)</f>
        <v>0</v>
      </c>
      <c r="H10">
        <f t="shared" ref="H10:H73" si="2">HEX2DEC(F10)</f>
        <v>0</v>
      </c>
      <c r="I10">
        <f t="shared" ref="I10:I73" si="3">HEX2DEC(G10)</f>
        <v>0</v>
      </c>
      <c r="J10" t="str">
        <f t="shared" ref="J10:J73" si="4">DEC2HEX((H10+I10)/2)</f>
        <v>0</v>
      </c>
      <c r="N10" s="1">
        <v>8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s">
        <v>12</v>
      </c>
    </row>
    <row r="11" spans="1:23">
      <c r="A11">
        <v>2</v>
      </c>
      <c r="B11" s="1">
        <v>2</v>
      </c>
      <c r="C11" s="1">
        <v>0</v>
      </c>
      <c r="D11" s="1">
        <v>0</v>
      </c>
      <c r="E11" s="1">
        <v>0</v>
      </c>
      <c r="F11">
        <f t="shared" si="0"/>
        <v>0</v>
      </c>
      <c r="G11">
        <f t="shared" si="1"/>
        <v>0</v>
      </c>
      <c r="H11">
        <f t="shared" si="2"/>
        <v>0</v>
      </c>
      <c r="I11">
        <f t="shared" si="3"/>
        <v>0</v>
      </c>
      <c r="J11" t="str">
        <f t="shared" si="4"/>
        <v>0</v>
      </c>
      <c r="N11" s="1">
        <v>9</v>
      </c>
      <c r="O11" s="1">
        <v>4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12</v>
      </c>
    </row>
    <row r="12" spans="1:23" hidden="1">
      <c r="A12">
        <v>3</v>
      </c>
      <c r="B12" s="1">
        <v>3</v>
      </c>
      <c r="C12" s="1">
        <v>0</v>
      </c>
      <c r="D12" s="1">
        <v>0</v>
      </c>
      <c r="E12" s="1">
        <v>0</v>
      </c>
      <c r="F12">
        <f t="shared" si="0"/>
        <v>0</v>
      </c>
      <c r="G12">
        <f t="shared" si="1"/>
        <v>0</v>
      </c>
      <c r="H12">
        <f t="shared" si="2"/>
        <v>0</v>
      </c>
      <c r="I12">
        <f t="shared" si="3"/>
        <v>0</v>
      </c>
      <c r="J12" t="str">
        <f t="shared" si="4"/>
        <v>0</v>
      </c>
      <c r="N12" s="1">
        <v>10</v>
      </c>
      <c r="O12" s="1">
        <v>0</v>
      </c>
      <c r="P12" s="1">
        <v>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12</v>
      </c>
    </row>
    <row r="13" spans="1:23" hidden="1">
      <c r="A13">
        <v>4</v>
      </c>
      <c r="B13" s="1">
        <v>4</v>
      </c>
      <c r="C13" s="1">
        <v>0</v>
      </c>
      <c r="D13" s="1">
        <v>0</v>
      </c>
      <c r="E13" s="1">
        <v>0</v>
      </c>
      <c r="F13">
        <f t="shared" si="0"/>
        <v>0</v>
      </c>
      <c r="G13">
        <f t="shared" si="1"/>
        <v>0</v>
      </c>
      <c r="H13">
        <f t="shared" si="2"/>
        <v>0</v>
      </c>
      <c r="I13">
        <f t="shared" si="3"/>
        <v>0</v>
      </c>
      <c r="J13" t="str">
        <f t="shared" si="4"/>
        <v>0</v>
      </c>
      <c r="N13" s="1">
        <v>11</v>
      </c>
      <c r="O13" s="1">
        <v>1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12</v>
      </c>
    </row>
    <row r="14" spans="1:23" hidden="1">
      <c r="A14">
        <v>5</v>
      </c>
      <c r="B14" s="1">
        <v>0</v>
      </c>
      <c r="C14" s="1">
        <v>1</v>
      </c>
      <c r="D14" s="1">
        <v>0</v>
      </c>
      <c r="E14" s="1">
        <v>0</v>
      </c>
      <c r="F14">
        <f t="shared" si="0"/>
        <v>0</v>
      </c>
      <c r="G14">
        <f t="shared" si="1"/>
        <v>0</v>
      </c>
      <c r="H14">
        <f t="shared" si="2"/>
        <v>0</v>
      </c>
      <c r="I14">
        <f t="shared" si="3"/>
        <v>0</v>
      </c>
      <c r="J14" t="str">
        <f t="shared" si="4"/>
        <v>0</v>
      </c>
      <c r="N14" s="1">
        <v>12</v>
      </c>
      <c r="O14" s="1">
        <v>2</v>
      </c>
      <c r="P14" s="1">
        <v>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12</v>
      </c>
    </row>
    <row r="15" spans="1:23" hidden="1">
      <c r="A15">
        <v>6</v>
      </c>
      <c r="B15" s="1">
        <v>1</v>
      </c>
      <c r="C15" s="1">
        <v>1</v>
      </c>
      <c r="D15" s="1">
        <v>0</v>
      </c>
      <c r="E15" s="1">
        <v>0</v>
      </c>
      <c r="F15">
        <f t="shared" si="0"/>
        <v>0</v>
      </c>
      <c r="G15">
        <f t="shared" si="1"/>
        <v>0</v>
      </c>
      <c r="H15">
        <f t="shared" si="2"/>
        <v>0</v>
      </c>
      <c r="I15">
        <f t="shared" si="3"/>
        <v>0</v>
      </c>
      <c r="J15" t="str">
        <f t="shared" si="4"/>
        <v>0</v>
      </c>
      <c r="N15" s="1">
        <v>13</v>
      </c>
      <c r="O15" s="1">
        <v>3</v>
      </c>
      <c r="P15" s="1">
        <v>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12</v>
      </c>
    </row>
    <row r="16" spans="1:23" hidden="1">
      <c r="A16">
        <v>7</v>
      </c>
      <c r="B16" s="1">
        <v>2</v>
      </c>
      <c r="C16" s="1">
        <v>1</v>
      </c>
      <c r="D16" s="1">
        <v>0</v>
      </c>
      <c r="E16" s="1">
        <v>0</v>
      </c>
      <c r="F16">
        <f t="shared" si="0"/>
        <v>0</v>
      </c>
      <c r="G16">
        <f t="shared" si="1"/>
        <v>0</v>
      </c>
      <c r="H16">
        <f t="shared" si="2"/>
        <v>0</v>
      </c>
      <c r="I16">
        <f t="shared" si="3"/>
        <v>0</v>
      </c>
      <c r="J16" t="str">
        <f t="shared" si="4"/>
        <v>0</v>
      </c>
      <c r="N16" s="1">
        <v>14</v>
      </c>
      <c r="O16" s="1">
        <v>4</v>
      </c>
      <c r="P16" s="1">
        <v>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12</v>
      </c>
    </row>
    <row r="17" spans="1:23" hidden="1">
      <c r="A17">
        <v>8</v>
      </c>
      <c r="B17" s="1">
        <v>3</v>
      </c>
      <c r="C17" s="1">
        <v>1</v>
      </c>
      <c r="D17" s="1">
        <v>0</v>
      </c>
      <c r="E17" s="1">
        <v>0</v>
      </c>
      <c r="F17">
        <f t="shared" si="0"/>
        <v>0</v>
      </c>
      <c r="G17">
        <f t="shared" si="1"/>
        <v>0</v>
      </c>
      <c r="H17">
        <f t="shared" si="2"/>
        <v>0</v>
      </c>
      <c r="I17">
        <f t="shared" si="3"/>
        <v>0</v>
      </c>
      <c r="J17" t="str">
        <f t="shared" si="4"/>
        <v>0</v>
      </c>
      <c r="N17" s="1">
        <v>15</v>
      </c>
      <c r="O17" s="1">
        <v>0</v>
      </c>
      <c r="P17" s="1">
        <v>3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12</v>
      </c>
    </row>
    <row r="18" spans="1:23" hidden="1">
      <c r="A18">
        <v>9</v>
      </c>
      <c r="B18" s="1">
        <v>4</v>
      </c>
      <c r="C18" s="1">
        <v>1</v>
      </c>
      <c r="D18" s="1">
        <v>0</v>
      </c>
      <c r="E18" s="1">
        <v>0</v>
      </c>
      <c r="F18">
        <f t="shared" si="0"/>
        <v>0</v>
      </c>
      <c r="G18">
        <f t="shared" si="1"/>
        <v>0</v>
      </c>
      <c r="H18">
        <f t="shared" si="2"/>
        <v>0</v>
      </c>
      <c r="I18">
        <f t="shared" si="3"/>
        <v>0</v>
      </c>
      <c r="J18" t="str">
        <f t="shared" si="4"/>
        <v>0</v>
      </c>
      <c r="N18" s="1">
        <v>16</v>
      </c>
      <c r="O18" s="1">
        <v>1</v>
      </c>
      <c r="P18" s="1">
        <v>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12</v>
      </c>
    </row>
    <row r="19" spans="1:23" hidden="1">
      <c r="A19">
        <v>10</v>
      </c>
      <c r="B19" s="1">
        <v>0</v>
      </c>
      <c r="C19" s="1">
        <v>2</v>
      </c>
      <c r="D19" s="1">
        <v>0</v>
      </c>
      <c r="E19" s="1">
        <v>0</v>
      </c>
      <c r="F19">
        <f t="shared" si="0"/>
        <v>0</v>
      </c>
      <c r="G19">
        <f t="shared" si="1"/>
        <v>0</v>
      </c>
      <c r="H19">
        <f t="shared" si="2"/>
        <v>0</v>
      </c>
      <c r="I19">
        <f t="shared" si="3"/>
        <v>0</v>
      </c>
      <c r="J19" t="str">
        <f t="shared" si="4"/>
        <v>0</v>
      </c>
      <c r="N19" s="1">
        <v>17</v>
      </c>
      <c r="O19" s="1">
        <v>2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12</v>
      </c>
    </row>
    <row r="20" spans="1:23" hidden="1">
      <c r="A20">
        <v>11</v>
      </c>
      <c r="B20" s="1">
        <v>1</v>
      </c>
      <c r="C20" s="1">
        <v>2</v>
      </c>
      <c r="D20" s="1">
        <v>0</v>
      </c>
      <c r="E20" s="1">
        <v>0</v>
      </c>
      <c r="F20">
        <f t="shared" si="0"/>
        <v>0</v>
      </c>
      <c r="G20">
        <f t="shared" si="1"/>
        <v>0</v>
      </c>
      <c r="H20">
        <f t="shared" si="2"/>
        <v>0</v>
      </c>
      <c r="I20">
        <f t="shared" si="3"/>
        <v>0</v>
      </c>
      <c r="J20" t="str">
        <f t="shared" si="4"/>
        <v>0</v>
      </c>
      <c r="N20" s="1">
        <v>18</v>
      </c>
      <c r="O20" s="1">
        <v>3</v>
      </c>
      <c r="P20" s="1">
        <v>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12</v>
      </c>
    </row>
    <row r="21" spans="1:23" hidden="1">
      <c r="A21">
        <v>12</v>
      </c>
      <c r="B21" s="1">
        <v>2</v>
      </c>
      <c r="C21" s="1">
        <v>2</v>
      </c>
      <c r="D21" s="1">
        <v>0</v>
      </c>
      <c r="E21" s="1">
        <v>0</v>
      </c>
      <c r="F21">
        <f t="shared" si="0"/>
        <v>0</v>
      </c>
      <c r="G21">
        <f t="shared" si="1"/>
        <v>0</v>
      </c>
      <c r="H21">
        <f t="shared" si="2"/>
        <v>0</v>
      </c>
      <c r="I21">
        <f t="shared" si="3"/>
        <v>0</v>
      </c>
      <c r="J21" t="str">
        <f t="shared" si="4"/>
        <v>0</v>
      </c>
      <c r="N21" s="1">
        <v>19</v>
      </c>
      <c r="O21" s="1">
        <v>4</v>
      </c>
      <c r="P21" s="1">
        <v>3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12</v>
      </c>
    </row>
    <row r="22" spans="1:23" hidden="1">
      <c r="A22">
        <v>13</v>
      </c>
      <c r="B22" s="1">
        <v>3</v>
      </c>
      <c r="C22" s="1">
        <v>2</v>
      </c>
      <c r="D22" s="1">
        <v>0</v>
      </c>
      <c r="E22" s="1">
        <v>0</v>
      </c>
      <c r="F22">
        <f t="shared" si="0"/>
        <v>0</v>
      </c>
      <c r="G22">
        <f t="shared" si="1"/>
        <v>0</v>
      </c>
      <c r="H22">
        <f t="shared" si="2"/>
        <v>0</v>
      </c>
      <c r="I22">
        <f t="shared" si="3"/>
        <v>0</v>
      </c>
      <c r="J22" t="str">
        <f t="shared" si="4"/>
        <v>0</v>
      </c>
      <c r="N22" s="1">
        <v>20</v>
      </c>
      <c r="O22" s="1">
        <v>0</v>
      </c>
      <c r="P22" s="1">
        <v>4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12</v>
      </c>
    </row>
    <row r="23" spans="1:23" hidden="1">
      <c r="A23">
        <v>14</v>
      </c>
      <c r="B23" s="1">
        <v>4</v>
      </c>
      <c r="C23" s="1">
        <v>2</v>
      </c>
      <c r="D23" s="1">
        <v>0</v>
      </c>
      <c r="E23" s="1">
        <v>0</v>
      </c>
      <c r="F23">
        <f t="shared" si="0"/>
        <v>0</v>
      </c>
      <c r="G23">
        <f t="shared" si="1"/>
        <v>0</v>
      </c>
      <c r="H23">
        <f t="shared" si="2"/>
        <v>0</v>
      </c>
      <c r="I23">
        <f t="shared" si="3"/>
        <v>0</v>
      </c>
      <c r="J23" t="str">
        <f t="shared" si="4"/>
        <v>0</v>
      </c>
      <c r="N23" s="1">
        <v>21</v>
      </c>
      <c r="O23" s="1">
        <v>1</v>
      </c>
      <c r="P23" s="1">
        <v>4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12</v>
      </c>
    </row>
    <row r="24" spans="1:23" hidden="1">
      <c r="A24">
        <v>15</v>
      </c>
      <c r="B24" s="1">
        <v>0</v>
      </c>
      <c r="C24" s="1">
        <v>3</v>
      </c>
      <c r="D24" s="1">
        <v>0</v>
      </c>
      <c r="E24" s="1">
        <v>0</v>
      </c>
      <c r="F24">
        <f t="shared" si="0"/>
        <v>0</v>
      </c>
      <c r="G24">
        <f t="shared" si="1"/>
        <v>0</v>
      </c>
      <c r="H24">
        <f t="shared" si="2"/>
        <v>0</v>
      </c>
      <c r="I24">
        <f t="shared" si="3"/>
        <v>0</v>
      </c>
      <c r="J24" t="str">
        <f t="shared" si="4"/>
        <v>0</v>
      </c>
      <c r="N24" s="1">
        <v>22</v>
      </c>
      <c r="O24" s="1">
        <v>2</v>
      </c>
      <c r="P24" s="1">
        <v>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12</v>
      </c>
    </row>
    <row r="25" spans="1:23" hidden="1">
      <c r="A25">
        <v>16</v>
      </c>
      <c r="B25" s="1">
        <v>1</v>
      </c>
      <c r="C25" s="1">
        <v>3</v>
      </c>
      <c r="D25" s="1">
        <v>0</v>
      </c>
      <c r="E25" s="1">
        <v>0</v>
      </c>
      <c r="F25">
        <f t="shared" si="0"/>
        <v>0</v>
      </c>
      <c r="G25">
        <f t="shared" si="1"/>
        <v>0</v>
      </c>
      <c r="H25">
        <f t="shared" si="2"/>
        <v>0</v>
      </c>
      <c r="I25">
        <f t="shared" si="3"/>
        <v>0</v>
      </c>
      <c r="J25" t="str">
        <f t="shared" si="4"/>
        <v>0</v>
      </c>
      <c r="N25" s="1">
        <v>23</v>
      </c>
      <c r="O25" s="1">
        <v>3</v>
      </c>
      <c r="P25" s="1">
        <v>4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12</v>
      </c>
    </row>
    <row r="26" spans="1:23" hidden="1">
      <c r="A26">
        <v>17</v>
      </c>
      <c r="B26" s="1">
        <v>2</v>
      </c>
      <c r="C26" s="1">
        <v>3</v>
      </c>
      <c r="D26" s="1">
        <v>0</v>
      </c>
      <c r="E26" s="1">
        <v>0</v>
      </c>
      <c r="F26">
        <f t="shared" si="0"/>
        <v>0</v>
      </c>
      <c r="G26">
        <f t="shared" si="1"/>
        <v>0</v>
      </c>
      <c r="H26">
        <f t="shared" si="2"/>
        <v>0</v>
      </c>
      <c r="I26">
        <f t="shared" si="3"/>
        <v>0</v>
      </c>
      <c r="J26" t="str">
        <f t="shared" si="4"/>
        <v>0</v>
      </c>
      <c r="N26" s="1">
        <v>24</v>
      </c>
      <c r="O26" s="1">
        <v>4</v>
      </c>
      <c r="P26" s="1">
        <v>4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12</v>
      </c>
    </row>
    <row r="27" spans="1:23" hidden="1">
      <c r="A27">
        <v>18</v>
      </c>
      <c r="B27" s="1">
        <v>3</v>
      </c>
      <c r="C27" s="1">
        <v>3</v>
      </c>
      <c r="D27" s="1">
        <v>0</v>
      </c>
      <c r="E27" s="1">
        <v>0</v>
      </c>
      <c r="F27">
        <f t="shared" si="0"/>
        <v>0</v>
      </c>
      <c r="G27">
        <f t="shared" si="1"/>
        <v>0</v>
      </c>
      <c r="H27">
        <f t="shared" si="2"/>
        <v>0</v>
      </c>
      <c r="I27">
        <f t="shared" si="3"/>
        <v>0</v>
      </c>
      <c r="J27" t="str">
        <f t="shared" si="4"/>
        <v>0</v>
      </c>
      <c r="N27" s="1">
        <v>25</v>
      </c>
      <c r="O27" s="1">
        <v>0</v>
      </c>
      <c r="P27" s="1">
        <v>0</v>
      </c>
      <c r="Q27" s="1">
        <v>1</v>
      </c>
      <c r="R27" s="1">
        <v>0</v>
      </c>
      <c r="S27" s="1" t="s">
        <v>12</v>
      </c>
      <c r="T27" s="1">
        <v>0</v>
      </c>
      <c r="U27" s="1">
        <v>0</v>
      </c>
      <c r="V27" s="1">
        <v>0</v>
      </c>
      <c r="W27" s="1" t="s">
        <v>12</v>
      </c>
    </row>
    <row r="28" spans="1:23" hidden="1">
      <c r="A28">
        <v>19</v>
      </c>
      <c r="B28" s="1">
        <v>4</v>
      </c>
      <c r="C28" s="1">
        <v>3</v>
      </c>
      <c r="D28" s="1">
        <v>0</v>
      </c>
      <c r="E28" s="1">
        <v>0</v>
      </c>
      <c r="F28">
        <f t="shared" si="0"/>
        <v>0</v>
      </c>
      <c r="G28">
        <f t="shared" si="1"/>
        <v>0</v>
      </c>
      <c r="H28">
        <f t="shared" si="2"/>
        <v>0</v>
      </c>
      <c r="I28">
        <f t="shared" si="3"/>
        <v>0</v>
      </c>
      <c r="J28" t="str">
        <f t="shared" si="4"/>
        <v>0</v>
      </c>
      <c r="N28" s="1">
        <v>30</v>
      </c>
      <c r="O28" s="1">
        <v>0</v>
      </c>
      <c r="P28" s="1">
        <v>1</v>
      </c>
      <c r="Q28" s="1">
        <v>1</v>
      </c>
      <c r="R28" s="1">
        <v>0</v>
      </c>
      <c r="S28" s="1" t="s">
        <v>12</v>
      </c>
      <c r="T28" s="1">
        <v>0</v>
      </c>
      <c r="U28" s="1">
        <v>0</v>
      </c>
      <c r="V28" s="1">
        <v>0</v>
      </c>
      <c r="W28" s="1" t="s">
        <v>12</v>
      </c>
    </row>
    <row r="29" spans="1:23" hidden="1">
      <c r="A29">
        <v>20</v>
      </c>
      <c r="B29" s="1">
        <v>0</v>
      </c>
      <c r="C29" s="1">
        <v>4</v>
      </c>
      <c r="D29" s="1">
        <v>0</v>
      </c>
      <c r="E29" s="1">
        <v>0</v>
      </c>
      <c r="F29">
        <f t="shared" si="0"/>
        <v>0</v>
      </c>
      <c r="G29">
        <f t="shared" si="1"/>
        <v>0</v>
      </c>
      <c r="H29">
        <f t="shared" si="2"/>
        <v>0</v>
      </c>
      <c r="I29">
        <f t="shared" si="3"/>
        <v>0</v>
      </c>
      <c r="J29" t="str">
        <f t="shared" si="4"/>
        <v>0</v>
      </c>
      <c r="N29" s="1">
        <v>35</v>
      </c>
      <c r="O29" s="1">
        <v>0</v>
      </c>
      <c r="P29" s="1">
        <v>2</v>
      </c>
      <c r="Q29" s="1">
        <v>1</v>
      </c>
      <c r="R29" s="1">
        <v>0</v>
      </c>
      <c r="S29" s="1" t="s">
        <v>12</v>
      </c>
      <c r="T29" s="1">
        <v>0</v>
      </c>
      <c r="U29" s="1">
        <v>0</v>
      </c>
      <c r="V29" s="1">
        <v>0</v>
      </c>
      <c r="W29" s="1" t="s">
        <v>12</v>
      </c>
    </row>
    <row r="30" spans="1:23" hidden="1">
      <c r="A30">
        <v>21</v>
      </c>
      <c r="B30" s="1">
        <v>1</v>
      </c>
      <c r="C30" s="1">
        <v>4</v>
      </c>
      <c r="D30" s="1">
        <v>0</v>
      </c>
      <c r="E30" s="1">
        <v>0</v>
      </c>
      <c r="F30">
        <f t="shared" si="0"/>
        <v>0</v>
      </c>
      <c r="G30">
        <f t="shared" si="1"/>
        <v>0</v>
      </c>
      <c r="H30">
        <f t="shared" si="2"/>
        <v>0</v>
      </c>
      <c r="I30">
        <f t="shared" si="3"/>
        <v>0</v>
      </c>
      <c r="J30" t="str">
        <f t="shared" si="4"/>
        <v>0</v>
      </c>
      <c r="N30" s="1">
        <v>40</v>
      </c>
      <c r="O30" s="1">
        <v>0</v>
      </c>
      <c r="P30" s="1">
        <v>3</v>
      </c>
      <c r="Q30" s="1">
        <v>1</v>
      </c>
      <c r="R30" s="1">
        <v>0</v>
      </c>
      <c r="S30" s="1" t="s">
        <v>12</v>
      </c>
      <c r="T30" s="1">
        <v>0</v>
      </c>
      <c r="U30" s="1">
        <v>0</v>
      </c>
      <c r="V30" s="1">
        <v>0</v>
      </c>
      <c r="W30" s="1" t="s">
        <v>12</v>
      </c>
    </row>
    <row r="31" spans="1:23" hidden="1">
      <c r="A31">
        <v>22</v>
      </c>
      <c r="B31" s="1">
        <v>2</v>
      </c>
      <c r="C31" s="1">
        <v>4</v>
      </c>
      <c r="D31" s="1">
        <v>0</v>
      </c>
      <c r="E31" s="1">
        <v>0</v>
      </c>
      <c r="F31">
        <f t="shared" si="0"/>
        <v>0</v>
      </c>
      <c r="G31">
        <f t="shared" si="1"/>
        <v>0</v>
      </c>
      <c r="H31">
        <f t="shared" si="2"/>
        <v>0</v>
      </c>
      <c r="I31">
        <f t="shared" si="3"/>
        <v>0</v>
      </c>
      <c r="J31" t="str">
        <f t="shared" si="4"/>
        <v>0</v>
      </c>
      <c r="N31" s="1">
        <v>45</v>
      </c>
      <c r="O31" s="1">
        <v>0</v>
      </c>
      <c r="P31" s="1">
        <v>4</v>
      </c>
      <c r="Q31" s="1">
        <v>1</v>
      </c>
      <c r="R31" s="1">
        <v>0</v>
      </c>
      <c r="S31" s="1" t="s">
        <v>12</v>
      </c>
      <c r="T31" s="1">
        <v>0</v>
      </c>
      <c r="U31" s="1">
        <v>0</v>
      </c>
      <c r="V31" s="1">
        <v>0</v>
      </c>
      <c r="W31" s="1" t="s">
        <v>12</v>
      </c>
    </row>
    <row r="32" spans="1:23" hidden="1">
      <c r="A32">
        <v>23</v>
      </c>
      <c r="B32" s="1">
        <v>3</v>
      </c>
      <c r="C32" s="1">
        <v>4</v>
      </c>
      <c r="D32" s="1">
        <v>0</v>
      </c>
      <c r="E32" s="1">
        <v>0</v>
      </c>
      <c r="F32">
        <f t="shared" si="0"/>
        <v>0</v>
      </c>
      <c r="G32">
        <f t="shared" si="1"/>
        <v>0</v>
      </c>
      <c r="H32">
        <f t="shared" si="2"/>
        <v>0</v>
      </c>
      <c r="I32">
        <f t="shared" si="3"/>
        <v>0</v>
      </c>
      <c r="J32" t="str">
        <f t="shared" si="4"/>
        <v>0</v>
      </c>
      <c r="N32" s="1">
        <v>50</v>
      </c>
      <c r="O32" s="1">
        <v>0</v>
      </c>
      <c r="P32" s="1">
        <v>0</v>
      </c>
      <c r="Q32" s="1">
        <v>2</v>
      </c>
      <c r="R32" s="1">
        <v>0</v>
      </c>
      <c r="S32" s="1" t="s">
        <v>12</v>
      </c>
      <c r="T32" s="1">
        <v>0</v>
      </c>
      <c r="U32" s="1">
        <v>0</v>
      </c>
      <c r="V32" s="1">
        <v>0</v>
      </c>
      <c r="W32" s="1" t="s">
        <v>12</v>
      </c>
    </row>
    <row r="33" spans="1:24" hidden="1">
      <c r="A33">
        <v>24</v>
      </c>
      <c r="B33" s="1">
        <v>4</v>
      </c>
      <c r="C33" s="1">
        <v>4</v>
      </c>
      <c r="D33" s="1">
        <v>0</v>
      </c>
      <c r="E33" s="1">
        <v>0</v>
      </c>
      <c r="F33">
        <f t="shared" si="0"/>
        <v>0</v>
      </c>
      <c r="G33">
        <f t="shared" si="1"/>
        <v>0</v>
      </c>
      <c r="H33">
        <f t="shared" si="2"/>
        <v>0</v>
      </c>
      <c r="I33">
        <f t="shared" si="3"/>
        <v>0</v>
      </c>
      <c r="J33" t="str">
        <f t="shared" si="4"/>
        <v>0</v>
      </c>
      <c r="N33" s="1">
        <v>55</v>
      </c>
      <c r="O33" s="1">
        <v>0</v>
      </c>
      <c r="P33" s="1">
        <v>1</v>
      </c>
      <c r="Q33" s="1">
        <v>2</v>
      </c>
      <c r="R33" s="1">
        <v>0</v>
      </c>
      <c r="S33" s="1" t="s">
        <v>12</v>
      </c>
      <c r="T33" s="1">
        <v>0</v>
      </c>
      <c r="U33" s="1">
        <v>0</v>
      </c>
      <c r="V33" s="1">
        <v>0</v>
      </c>
      <c r="W33" s="1" t="s">
        <v>12</v>
      </c>
    </row>
    <row r="34" spans="1:24" hidden="1">
      <c r="A34">
        <v>25</v>
      </c>
      <c r="B34" s="1">
        <v>0</v>
      </c>
      <c r="C34" s="1">
        <v>0</v>
      </c>
      <c r="D34" s="1">
        <v>1</v>
      </c>
      <c r="E34" s="1">
        <v>0</v>
      </c>
      <c r="F34" t="str">
        <f t="shared" si="0"/>
        <v>0</v>
      </c>
      <c r="G34">
        <f t="shared" si="1"/>
        <v>0</v>
      </c>
      <c r="H34">
        <f t="shared" si="2"/>
        <v>0</v>
      </c>
      <c r="I34">
        <f t="shared" si="3"/>
        <v>0</v>
      </c>
      <c r="J34" t="str">
        <f t="shared" si="4"/>
        <v>0</v>
      </c>
      <c r="N34" s="1">
        <v>60</v>
      </c>
      <c r="O34" s="1">
        <v>0</v>
      </c>
      <c r="P34" s="1">
        <v>2</v>
      </c>
      <c r="Q34" s="1">
        <v>2</v>
      </c>
      <c r="R34" s="1">
        <v>0</v>
      </c>
      <c r="S34" s="1" t="s">
        <v>12</v>
      </c>
      <c r="T34" s="1">
        <v>0</v>
      </c>
      <c r="U34" s="1">
        <v>0</v>
      </c>
      <c r="V34" s="1">
        <v>0</v>
      </c>
      <c r="W34" s="1" t="s">
        <v>12</v>
      </c>
    </row>
    <row r="35" spans="1:24" hidden="1">
      <c r="A35">
        <v>26</v>
      </c>
      <c r="B35" s="1">
        <v>1</v>
      </c>
      <c r="C35" s="1">
        <v>0</v>
      </c>
      <c r="D35" s="1">
        <v>1</v>
      </c>
      <c r="E35" s="1">
        <v>0</v>
      </c>
      <c r="F35" t="str">
        <f t="shared" si="0"/>
        <v>7F</v>
      </c>
      <c r="G35">
        <f t="shared" si="1"/>
        <v>0</v>
      </c>
      <c r="H35">
        <f t="shared" si="2"/>
        <v>127</v>
      </c>
      <c r="I35">
        <f t="shared" si="3"/>
        <v>0</v>
      </c>
      <c r="J35" t="str">
        <f t="shared" si="4"/>
        <v>3F</v>
      </c>
      <c r="N35" s="1">
        <v>65</v>
      </c>
      <c r="O35" s="1">
        <v>0</v>
      </c>
      <c r="P35" s="1">
        <v>3</v>
      </c>
      <c r="Q35" s="1">
        <v>2</v>
      </c>
      <c r="R35" s="1">
        <v>0</v>
      </c>
      <c r="S35" s="1" t="s">
        <v>12</v>
      </c>
      <c r="T35" s="1">
        <v>0</v>
      </c>
      <c r="U35" s="1">
        <v>0</v>
      </c>
      <c r="V35" s="1">
        <v>0</v>
      </c>
      <c r="W35" s="1" t="s">
        <v>12</v>
      </c>
    </row>
    <row r="36" spans="1:24" hidden="1">
      <c r="A36">
        <v>27</v>
      </c>
      <c r="B36" s="1">
        <v>2</v>
      </c>
      <c r="C36" s="1">
        <v>0</v>
      </c>
      <c r="D36" s="1">
        <v>1</v>
      </c>
      <c r="E36" s="1">
        <v>0</v>
      </c>
      <c r="F36" t="str">
        <f t="shared" si="0"/>
        <v>7F8000</v>
      </c>
      <c r="G36">
        <f t="shared" si="1"/>
        <v>0</v>
      </c>
      <c r="H36">
        <f t="shared" si="2"/>
        <v>8355840</v>
      </c>
      <c r="I36">
        <f t="shared" si="3"/>
        <v>0</v>
      </c>
      <c r="J36" t="str">
        <f t="shared" si="4"/>
        <v>3FC000</v>
      </c>
      <c r="N36" s="1">
        <v>70</v>
      </c>
      <c r="O36" s="1">
        <v>0</v>
      </c>
      <c r="P36" s="1">
        <v>4</v>
      </c>
      <c r="Q36" s="1">
        <v>2</v>
      </c>
      <c r="R36" s="1">
        <v>0</v>
      </c>
      <c r="S36" s="1" t="s">
        <v>12</v>
      </c>
      <c r="T36" s="1">
        <v>0</v>
      </c>
      <c r="U36" s="1">
        <v>0</v>
      </c>
      <c r="V36" s="1">
        <v>0</v>
      </c>
      <c r="W36" s="1" t="s">
        <v>12</v>
      </c>
    </row>
    <row r="37" spans="1:24" hidden="1">
      <c r="A37">
        <v>28</v>
      </c>
      <c r="B37" s="1">
        <v>3</v>
      </c>
      <c r="C37" s="1">
        <v>0</v>
      </c>
      <c r="D37" s="1">
        <v>1</v>
      </c>
      <c r="E37" s="1">
        <v>0</v>
      </c>
      <c r="F37" t="str">
        <f t="shared" si="0"/>
        <v>7F807F</v>
      </c>
      <c r="G37">
        <f t="shared" si="1"/>
        <v>0</v>
      </c>
      <c r="H37">
        <f t="shared" si="2"/>
        <v>8355967</v>
      </c>
      <c r="I37">
        <f t="shared" si="3"/>
        <v>0</v>
      </c>
      <c r="J37" t="str">
        <f t="shared" si="4"/>
        <v>3FC03F</v>
      </c>
      <c r="N37" s="1">
        <v>75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 t="s">
        <v>12</v>
      </c>
      <c r="U37" s="1">
        <v>0</v>
      </c>
      <c r="V37" s="1">
        <v>0</v>
      </c>
      <c r="W37" s="1" t="s">
        <v>12</v>
      </c>
    </row>
    <row r="38" spans="1:24" hidden="1">
      <c r="A38">
        <v>29</v>
      </c>
      <c r="B38" s="1">
        <v>4</v>
      </c>
      <c r="C38" s="1">
        <v>0</v>
      </c>
      <c r="D38" s="1">
        <v>1</v>
      </c>
      <c r="E38" s="1">
        <v>0</v>
      </c>
      <c r="F38" t="str">
        <f t="shared" si="0"/>
        <v>7F80</v>
      </c>
      <c r="G38">
        <f t="shared" si="1"/>
        <v>0</v>
      </c>
      <c r="H38">
        <f t="shared" si="2"/>
        <v>32640</v>
      </c>
      <c r="I38">
        <f t="shared" si="3"/>
        <v>0</v>
      </c>
      <c r="J38" t="str">
        <f t="shared" si="4"/>
        <v>3FC0</v>
      </c>
      <c r="N38" s="1">
        <v>76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 t="s">
        <v>12</v>
      </c>
      <c r="U38" s="1">
        <v>0</v>
      </c>
      <c r="V38" s="1">
        <v>0</v>
      </c>
      <c r="W38" s="1" t="s">
        <v>12</v>
      </c>
    </row>
    <row r="39" spans="1:24" hidden="1">
      <c r="A39">
        <v>30</v>
      </c>
      <c r="B39" s="1">
        <v>0</v>
      </c>
      <c r="C39" s="1">
        <v>1</v>
      </c>
      <c r="D39" s="1">
        <v>1</v>
      </c>
      <c r="E39" s="1">
        <v>0</v>
      </c>
      <c r="F39" t="str">
        <f t="shared" si="0"/>
        <v>0</v>
      </c>
      <c r="G39">
        <f t="shared" si="1"/>
        <v>0</v>
      </c>
      <c r="H39">
        <f t="shared" si="2"/>
        <v>0</v>
      </c>
      <c r="I39">
        <f t="shared" si="3"/>
        <v>0</v>
      </c>
      <c r="J39" t="str">
        <f t="shared" si="4"/>
        <v>0</v>
      </c>
      <c r="N39" s="1">
        <v>77</v>
      </c>
      <c r="O39" s="1">
        <v>2</v>
      </c>
      <c r="P39" s="1">
        <v>0</v>
      </c>
      <c r="Q39" s="1">
        <v>0</v>
      </c>
      <c r="R39" s="1">
        <v>1</v>
      </c>
      <c r="S39" s="1">
        <v>0</v>
      </c>
      <c r="T39" s="1" t="s">
        <v>12</v>
      </c>
      <c r="U39" s="1">
        <v>0</v>
      </c>
      <c r="V39" s="1">
        <v>0</v>
      </c>
      <c r="W39" s="1" t="s">
        <v>12</v>
      </c>
    </row>
    <row r="40" spans="1:24" hidden="1">
      <c r="A40">
        <v>31</v>
      </c>
      <c r="B40" s="1">
        <v>1</v>
      </c>
      <c r="C40" s="1">
        <v>1</v>
      </c>
      <c r="D40" s="1">
        <v>1</v>
      </c>
      <c r="E40" s="1">
        <v>0</v>
      </c>
      <c r="F40" t="str">
        <f t="shared" si="0"/>
        <v>7F</v>
      </c>
      <c r="G40">
        <f t="shared" si="1"/>
        <v>0</v>
      </c>
      <c r="H40">
        <f t="shared" si="2"/>
        <v>127</v>
      </c>
      <c r="I40">
        <f t="shared" si="3"/>
        <v>0</v>
      </c>
      <c r="J40" t="str">
        <f t="shared" si="4"/>
        <v>3F</v>
      </c>
      <c r="N40" s="1">
        <v>78</v>
      </c>
      <c r="O40" s="1">
        <v>3</v>
      </c>
      <c r="P40" s="1">
        <v>0</v>
      </c>
      <c r="Q40" s="1">
        <v>0</v>
      </c>
      <c r="R40" s="1">
        <v>1</v>
      </c>
      <c r="S40" s="1">
        <v>0</v>
      </c>
      <c r="T40" s="1" t="s">
        <v>12</v>
      </c>
      <c r="U40" s="1">
        <v>0</v>
      </c>
      <c r="V40" s="1">
        <v>0</v>
      </c>
      <c r="W40" s="1" t="s">
        <v>12</v>
      </c>
    </row>
    <row r="41" spans="1:24" hidden="1">
      <c r="A41">
        <v>32</v>
      </c>
      <c r="B41" s="1">
        <v>2</v>
      </c>
      <c r="C41" s="1">
        <v>1</v>
      </c>
      <c r="D41" s="1">
        <v>1</v>
      </c>
      <c r="E41" s="1">
        <v>0</v>
      </c>
      <c r="F41" t="str">
        <f t="shared" si="0"/>
        <v>7F8000</v>
      </c>
      <c r="G41">
        <f t="shared" si="1"/>
        <v>0</v>
      </c>
      <c r="H41">
        <f t="shared" si="2"/>
        <v>8355840</v>
      </c>
      <c r="I41">
        <f t="shared" si="3"/>
        <v>0</v>
      </c>
      <c r="J41" t="str">
        <f t="shared" si="4"/>
        <v>3FC000</v>
      </c>
      <c r="N41" s="1">
        <v>79</v>
      </c>
      <c r="O41" s="1">
        <v>4</v>
      </c>
      <c r="P41" s="1">
        <v>0</v>
      </c>
      <c r="Q41" s="1">
        <v>0</v>
      </c>
      <c r="R41" s="1">
        <v>1</v>
      </c>
      <c r="S41" s="1">
        <v>0</v>
      </c>
      <c r="T41" s="1" t="s">
        <v>12</v>
      </c>
      <c r="U41" s="1">
        <v>0</v>
      </c>
      <c r="V41" s="1">
        <v>0</v>
      </c>
      <c r="W41" s="1" t="s">
        <v>12</v>
      </c>
    </row>
    <row r="42" spans="1:24" hidden="1">
      <c r="A42">
        <v>33</v>
      </c>
      <c r="B42" s="1">
        <v>3</v>
      </c>
      <c r="C42" s="1">
        <v>1</v>
      </c>
      <c r="D42" s="1">
        <v>1</v>
      </c>
      <c r="E42" s="1">
        <v>0</v>
      </c>
      <c r="F42" t="str">
        <f t="shared" si="0"/>
        <v>7F807F</v>
      </c>
      <c r="G42">
        <f t="shared" si="1"/>
        <v>0</v>
      </c>
      <c r="H42">
        <f t="shared" si="2"/>
        <v>8355967</v>
      </c>
      <c r="I42">
        <f t="shared" si="3"/>
        <v>0</v>
      </c>
      <c r="J42" t="str">
        <f t="shared" si="4"/>
        <v>3FC03F</v>
      </c>
      <c r="N42" s="1">
        <v>100</v>
      </c>
      <c r="O42" s="1">
        <v>0</v>
      </c>
      <c r="P42" s="1">
        <v>0</v>
      </c>
      <c r="Q42" s="1">
        <v>1</v>
      </c>
      <c r="R42" s="1">
        <v>1</v>
      </c>
      <c r="S42" s="1" t="s">
        <v>12</v>
      </c>
      <c r="T42" s="1" t="s">
        <v>12</v>
      </c>
      <c r="U42" s="1">
        <v>0</v>
      </c>
      <c r="V42" s="1">
        <v>0</v>
      </c>
      <c r="W42" s="1" t="s">
        <v>12</v>
      </c>
      <c r="X42">
        <f>INT(W42&lt;&gt;W1)</f>
        <v>1</v>
      </c>
    </row>
    <row r="43" spans="1:24" hidden="1">
      <c r="A43">
        <v>34</v>
      </c>
      <c r="B43" s="1">
        <v>4</v>
      </c>
      <c r="C43" s="1">
        <v>1</v>
      </c>
      <c r="D43" s="1">
        <v>1</v>
      </c>
      <c r="E43" s="1">
        <v>0</v>
      </c>
      <c r="F43" t="str">
        <f t="shared" si="0"/>
        <v>7F80</v>
      </c>
      <c r="G43">
        <f t="shared" si="1"/>
        <v>0</v>
      </c>
      <c r="H43">
        <f t="shared" si="2"/>
        <v>32640</v>
      </c>
      <c r="I43">
        <f t="shared" si="3"/>
        <v>0</v>
      </c>
      <c r="J43" t="str">
        <f t="shared" si="4"/>
        <v>3FC0</v>
      </c>
      <c r="N43" s="1">
        <v>125</v>
      </c>
      <c r="O43" s="1">
        <v>0</v>
      </c>
      <c r="P43" s="1">
        <v>0</v>
      </c>
      <c r="Q43" s="1">
        <v>2</v>
      </c>
      <c r="R43" s="1">
        <v>1</v>
      </c>
      <c r="S43" s="1" t="s">
        <v>12</v>
      </c>
      <c r="T43" s="1" t="s">
        <v>12</v>
      </c>
      <c r="U43" s="1">
        <v>0</v>
      </c>
      <c r="V43" s="1">
        <v>0</v>
      </c>
      <c r="W43" s="1" t="s">
        <v>12</v>
      </c>
      <c r="X43">
        <f>INT(W43&lt;&gt;W2)</f>
        <v>0</v>
      </c>
    </row>
    <row r="44" spans="1:24" hidden="1">
      <c r="A44">
        <v>35</v>
      </c>
      <c r="B44" s="1">
        <v>0</v>
      </c>
      <c r="C44" s="1">
        <v>2</v>
      </c>
      <c r="D44" s="1">
        <v>1</v>
      </c>
      <c r="E44" s="1">
        <v>0</v>
      </c>
      <c r="F44" t="str">
        <f t="shared" si="0"/>
        <v>0</v>
      </c>
      <c r="G44">
        <f t="shared" si="1"/>
        <v>0</v>
      </c>
      <c r="H44">
        <f t="shared" si="2"/>
        <v>0</v>
      </c>
      <c r="I44">
        <f t="shared" si="3"/>
        <v>0</v>
      </c>
      <c r="J44" t="str">
        <f t="shared" si="4"/>
        <v>0</v>
      </c>
      <c r="N44" s="1">
        <v>150</v>
      </c>
      <c r="O44" s="1">
        <v>0</v>
      </c>
      <c r="P44" s="1">
        <v>0</v>
      </c>
      <c r="Q44" s="1">
        <v>0</v>
      </c>
      <c r="R44" s="1">
        <v>2</v>
      </c>
      <c r="S44" s="1">
        <v>0</v>
      </c>
      <c r="T44" s="1" t="s">
        <v>12</v>
      </c>
      <c r="U44" s="1">
        <v>0</v>
      </c>
      <c r="V44" s="1">
        <v>0</v>
      </c>
      <c r="W44" s="1" t="s">
        <v>12</v>
      </c>
    </row>
    <row r="45" spans="1:24" hidden="1">
      <c r="A45">
        <v>36</v>
      </c>
      <c r="B45" s="1">
        <v>1</v>
      </c>
      <c r="C45" s="1">
        <v>2</v>
      </c>
      <c r="D45" s="1">
        <v>1</v>
      </c>
      <c r="E45" s="1">
        <v>0</v>
      </c>
      <c r="F45" t="str">
        <f t="shared" si="0"/>
        <v>7F</v>
      </c>
      <c r="G45">
        <f t="shared" si="1"/>
        <v>0</v>
      </c>
      <c r="H45">
        <f t="shared" si="2"/>
        <v>127</v>
      </c>
      <c r="I45">
        <f t="shared" si="3"/>
        <v>0</v>
      </c>
      <c r="J45" t="str">
        <f t="shared" si="4"/>
        <v>3F</v>
      </c>
      <c r="N45" s="1">
        <v>151</v>
      </c>
      <c r="O45" s="1">
        <v>1</v>
      </c>
      <c r="P45" s="1">
        <v>0</v>
      </c>
      <c r="Q45" s="1">
        <v>0</v>
      </c>
      <c r="R45" s="1">
        <v>2</v>
      </c>
      <c r="S45" s="1">
        <v>0</v>
      </c>
      <c r="T45" s="1" t="s">
        <v>12</v>
      </c>
      <c r="U45" s="1">
        <v>0</v>
      </c>
      <c r="V45" s="1">
        <v>0</v>
      </c>
      <c r="W45" s="1" t="s">
        <v>12</v>
      </c>
    </row>
    <row r="46" spans="1:24" hidden="1">
      <c r="A46">
        <v>37</v>
      </c>
      <c r="B46" s="1">
        <v>2</v>
      </c>
      <c r="C46" s="1">
        <v>2</v>
      </c>
      <c r="D46" s="1">
        <v>1</v>
      </c>
      <c r="E46" s="1">
        <v>0</v>
      </c>
      <c r="F46" t="str">
        <f t="shared" si="0"/>
        <v>7F8000</v>
      </c>
      <c r="G46">
        <f t="shared" si="1"/>
        <v>0</v>
      </c>
      <c r="H46">
        <f t="shared" si="2"/>
        <v>8355840</v>
      </c>
      <c r="I46">
        <f t="shared" si="3"/>
        <v>0</v>
      </c>
      <c r="J46" t="str">
        <f t="shared" si="4"/>
        <v>3FC000</v>
      </c>
      <c r="N46" s="1">
        <v>152</v>
      </c>
      <c r="O46" s="1">
        <v>2</v>
      </c>
      <c r="P46" s="1">
        <v>0</v>
      </c>
      <c r="Q46" s="1">
        <v>0</v>
      </c>
      <c r="R46" s="1">
        <v>2</v>
      </c>
      <c r="S46" s="1">
        <v>0</v>
      </c>
      <c r="T46" s="1" t="s">
        <v>12</v>
      </c>
      <c r="U46" s="1">
        <v>0</v>
      </c>
      <c r="V46" s="1">
        <v>0</v>
      </c>
      <c r="W46" s="1" t="s">
        <v>12</v>
      </c>
    </row>
    <row r="47" spans="1:24" hidden="1">
      <c r="A47">
        <v>38</v>
      </c>
      <c r="B47" s="1">
        <v>3</v>
      </c>
      <c r="C47" s="1">
        <v>2</v>
      </c>
      <c r="D47" s="1">
        <v>1</v>
      </c>
      <c r="E47" s="1">
        <v>0</v>
      </c>
      <c r="F47" t="str">
        <f t="shared" si="0"/>
        <v>7F807F</v>
      </c>
      <c r="G47">
        <f t="shared" si="1"/>
        <v>0</v>
      </c>
      <c r="H47">
        <f t="shared" si="2"/>
        <v>8355967</v>
      </c>
      <c r="I47">
        <f t="shared" si="3"/>
        <v>0</v>
      </c>
      <c r="J47" t="str">
        <f t="shared" si="4"/>
        <v>3FC03F</v>
      </c>
      <c r="N47" s="1">
        <v>153</v>
      </c>
      <c r="O47" s="1">
        <v>3</v>
      </c>
      <c r="P47" s="1">
        <v>0</v>
      </c>
      <c r="Q47" s="1">
        <v>0</v>
      </c>
      <c r="R47" s="1">
        <v>2</v>
      </c>
      <c r="S47" s="1">
        <v>0</v>
      </c>
      <c r="T47" s="1" t="s">
        <v>12</v>
      </c>
      <c r="U47" s="1">
        <v>0</v>
      </c>
      <c r="V47" s="1">
        <v>0</v>
      </c>
      <c r="W47" s="1" t="s">
        <v>12</v>
      </c>
    </row>
    <row r="48" spans="1:24" hidden="1">
      <c r="A48">
        <v>39</v>
      </c>
      <c r="B48" s="1">
        <v>4</v>
      </c>
      <c r="C48" s="1">
        <v>2</v>
      </c>
      <c r="D48" s="1">
        <v>1</v>
      </c>
      <c r="E48" s="1">
        <v>0</v>
      </c>
      <c r="F48" t="str">
        <f t="shared" si="0"/>
        <v>7F80</v>
      </c>
      <c r="G48">
        <f t="shared" si="1"/>
        <v>0</v>
      </c>
      <c r="H48">
        <f t="shared" si="2"/>
        <v>32640</v>
      </c>
      <c r="I48">
        <f t="shared" si="3"/>
        <v>0</v>
      </c>
      <c r="J48" t="str">
        <f t="shared" si="4"/>
        <v>3FC0</v>
      </c>
      <c r="N48" s="1">
        <v>154</v>
      </c>
      <c r="O48" s="1">
        <v>4</v>
      </c>
      <c r="P48" s="1">
        <v>0</v>
      </c>
      <c r="Q48" s="1">
        <v>0</v>
      </c>
      <c r="R48" s="1">
        <v>2</v>
      </c>
      <c r="S48" s="1">
        <v>0</v>
      </c>
      <c r="T48" s="1" t="s">
        <v>12</v>
      </c>
      <c r="U48" s="1">
        <v>0</v>
      </c>
      <c r="V48" s="1">
        <v>0</v>
      </c>
      <c r="W48" s="1" t="s">
        <v>12</v>
      </c>
    </row>
    <row r="49" spans="1:24" hidden="1">
      <c r="A49">
        <v>40</v>
      </c>
      <c r="B49" s="1">
        <v>0</v>
      </c>
      <c r="C49" s="1">
        <v>3</v>
      </c>
      <c r="D49" s="1">
        <v>1</v>
      </c>
      <c r="E49" s="1">
        <v>0</v>
      </c>
      <c r="F49" t="str">
        <f t="shared" si="0"/>
        <v>0</v>
      </c>
      <c r="G49">
        <f t="shared" si="1"/>
        <v>0</v>
      </c>
      <c r="H49">
        <f t="shared" si="2"/>
        <v>0</v>
      </c>
      <c r="I49">
        <f t="shared" si="3"/>
        <v>0</v>
      </c>
      <c r="J49" t="str">
        <f t="shared" si="4"/>
        <v>0</v>
      </c>
      <c r="N49" s="1">
        <v>175</v>
      </c>
      <c r="O49" s="1">
        <v>0</v>
      </c>
      <c r="P49" s="1">
        <v>0</v>
      </c>
      <c r="Q49" s="1">
        <v>1</v>
      </c>
      <c r="R49" s="1">
        <v>2</v>
      </c>
      <c r="S49" s="1" t="s">
        <v>12</v>
      </c>
      <c r="T49" s="1" t="s">
        <v>12</v>
      </c>
      <c r="U49" s="1">
        <v>0</v>
      </c>
      <c r="V49" s="1">
        <v>0</v>
      </c>
      <c r="W49" s="1" t="s">
        <v>12</v>
      </c>
      <c r="X49">
        <f t="shared" ref="X49:X50" si="5">INT(W49&lt;&gt;W8)</f>
        <v>0</v>
      </c>
    </row>
    <row r="50" spans="1:24" hidden="1">
      <c r="A50">
        <v>41</v>
      </c>
      <c r="B50" s="1">
        <v>1</v>
      </c>
      <c r="C50" s="1">
        <v>3</v>
      </c>
      <c r="D50" s="1">
        <v>1</v>
      </c>
      <c r="E50" s="1">
        <v>0</v>
      </c>
      <c r="F50" t="str">
        <f t="shared" si="0"/>
        <v>7F</v>
      </c>
      <c r="G50">
        <f t="shared" si="1"/>
        <v>0</v>
      </c>
      <c r="H50">
        <f t="shared" si="2"/>
        <v>127</v>
      </c>
      <c r="I50">
        <f t="shared" si="3"/>
        <v>0</v>
      </c>
      <c r="J50" t="str">
        <f t="shared" si="4"/>
        <v>3F</v>
      </c>
      <c r="N50" s="1">
        <v>200</v>
      </c>
      <c r="O50" s="1">
        <v>0</v>
      </c>
      <c r="P50" s="1">
        <v>0</v>
      </c>
      <c r="Q50" s="1">
        <v>2</v>
      </c>
      <c r="R50" s="1">
        <v>2</v>
      </c>
      <c r="S50" s="1" t="s">
        <v>12</v>
      </c>
      <c r="T50" s="1" t="s">
        <v>12</v>
      </c>
      <c r="U50" s="1">
        <v>0</v>
      </c>
      <c r="V50" s="1">
        <v>0</v>
      </c>
      <c r="W50" s="1" t="s">
        <v>12</v>
      </c>
      <c r="X50">
        <f t="shared" si="5"/>
        <v>0</v>
      </c>
    </row>
    <row r="51" spans="1:24" hidden="1">
      <c r="A51">
        <v>42</v>
      </c>
      <c r="B51" s="1">
        <v>2</v>
      </c>
      <c r="C51" s="1">
        <v>3</v>
      </c>
      <c r="D51" s="1">
        <v>1</v>
      </c>
      <c r="E51" s="1">
        <v>0</v>
      </c>
      <c r="F51" t="str">
        <f t="shared" si="0"/>
        <v>7F8000</v>
      </c>
      <c r="G51">
        <f t="shared" si="1"/>
        <v>0</v>
      </c>
      <c r="H51">
        <f t="shared" si="2"/>
        <v>8355840</v>
      </c>
      <c r="I51">
        <f t="shared" si="3"/>
        <v>0</v>
      </c>
      <c r="J51" t="str">
        <f t="shared" si="4"/>
        <v>3FC000</v>
      </c>
      <c r="N51" s="1">
        <v>26</v>
      </c>
      <c r="O51" s="1">
        <v>1</v>
      </c>
      <c r="P51" s="1">
        <v>0</v>
      </c>
      <c r="Q51" s="1">
        <v>1</v>
      </c>
      <c r="R51" s="1">
        <v>0</v>
      </c>
      <c r="S51" s="1" t="s">
        <v>13</v>
      </c>
      <c r="T51" s="1">
        <v>0</v>
      </c>
      <c r="U51" s="1">
        <v>127</v>
      </c>
      <c r="V51" s="1">
        <v>0</v>
      </c>
      <c r="W51" s="1" t="s">
        <v>14</v>
      </c>
    </row>
    <row r="52" spans="1:24" hidden="1">
      <c r="A52">
        <v>43</v>
      </c>
      <c r="B52" s="1">
        <v>3</v>
      </c>
      <c r="C52" s="1">
        <v>3</v>
      </c>
      <c r="D52" s="1">
        <v>1</v>
      </c>
      <c r="E52" s="1">
        <v>0</v>
      </c>
      <c r="F52" t="str">
        <f t="shared" si="0"/>
        <v>7F807F</v>
      </c>
      <c r="G52">
        <f t="shared" si="1"/>
        <v>0</v>
      </c>
      <c r="H52">
        <f t="shared" si="2"/>
        <v>8355967</v>
      </c>
      <c r="I52">
        <f t="shared" si="3"/>
        <v>0</v>
      </c>
      <c r="J52" t="str">
        <f t="shared" si="4"/>
        <v>3FC03F</v>
      </c>
      <c r="N52" s="1">
        <v>31</v>
      </c>
      <c r="O52" s="1">
        <v>1</v>
      </c>
      <c r="P52" s="1">
        <v>1</v>
      </c>
      <c r="Q52" s="1">
        <v>1</v>
      </c>
      <c r="R52" s="1">
        <v>0</v>
      </c>
      <c r="S52" s="1" t="s">
        <v>13</v>
      </c>
      <c r="T52" s="1">
        <v>0</v>
      </c>
      <c r="U52" s="1">
        <v>127</v>
      </c>
      <c r="V52" s="1">
        <v>0</v>
      </c>
      <c r="W52" s="1" t="s">
        <v>14</v>
      </c>
    </row>
    <row r="53" spans="1:24" hidden="1">
      <c r="A53">
        <v>44</v>
      </c>
      <c r="B53" s="1">
        <v>4</v>
      </c>
      <c r="C53" s="1">
        <v>3</v>
      </c>
      <c r="D53" s="1">
        <v>1</v>
      </c>
      <c r="E53" s="1">
        <v>0</v>
      </c>
      <c r="F53" t="str">
        <f t="shared" si="0"/>
        <v>7F80</v>
      </c>
      <c r="G53">
        <f t="shared" si="1"/>
        <v>0</v>
      </c>
      <c r="H53">
        <f t="shared" si="2"/>
        <v>32640</v>
      </c>
      <c r="I53">
        <f t="shared" si="3"/>
        <v>0</v>
      </c>
      <c r="J53" t="str">
        <f t="shared" si="4"/>
        <v>3FC0</v>
      </c>
      <c r="N53" s="1">
        <v>36</v>
      </c>
      <c r="O53" s="1">
        <v>1</v>
      </c>
      <c r="P53" s="1">
        <v>2</v>
      </c>
      <c r="Q53" s="1">
        <v>1</v>
      </c>
      <c r="R53" s="1">
        <v>0</v>
      </c>
      <c r="S53" s="1" t="s">
        <v>13</v>
      </c>
      <c r="T53" s="1">
        <v>0</v>
      </c>
      <c r="U53" s="1">
        <v>127</v>
      </c>
      <c r="V53" s="1">
        <v>0</v>
      </c>
      <c r="W53" s="1" t="s">
        <v>14</v>
      </c>
    </row>
    <row r="54" spans="1:24" hidden="1">
      <c r="A54">
        <v>45</v>
      </c>
      <c r="B54" s="1">
        <v>0</v>
      </c>
      <c r="C54" s="1">
        <v>4</v>
      </c>
      <c r="D54" s="1">
        <v>1</v>
      </c>
      <c r="E54" s="1">
        <v>0</v>
      </c>
      <c r="F54" t="str">
        <f t="shared" si="0"/>
        <v>0</v>
      </c>
      <c r="G54">
        <f t="shared" si="1"/>
        <v>0</v>
      </c>
      <c r="H54">
        <f t="shared" si="2"/>
        <v>0</v>
      </c>
      <c r="I54">
        <f t="shared" si="3"/>
        <v>0</v>
      </c>
      <c r="J54" t="str">
        <f t="shared" si="4"/>
        <v>0</v>
      </c>
      <c r="N54" s="1">
        <v>41</v>
      </c>
      <c r="O54" s="1">
        <v>1</v>
      </c>
      <c r="P54" s="1">
        <v>3</v>
      </c>
      <c r="Q54" s="1">
        <v>1</v>
      </c>
      <c r="R54" s="1">
        <v>0</v>
      </c>
      <c r="S54" s="1" t="s">
        <v>13</v>
      </c>
      <c r="T54" s="1">
        <v>0</v>
      </c>
      <c r="U54" s="1">
        <v>127</v>
      </c>
      <c r="V54" s="1">
        <v>0</v>
      </c>
      <c r="W54" s="1" t="s">
        <v>14</v>
      </c>
    </row>
    <row r="55" spans="1:24" hidden="1">
      <c r="A55">
        <v>46</v>
      </c>
      <c r="B55" s="1">
        <v>1</v>
      </c>
      <c r="C55" s="1">
        <v>4</v>
      </c>
      <c r="D55" s="1">
        <v>1</v>
      </c>
      <c r="E55" s="1">
        <v>0</v>
      </c>
      <c r="F55" t="str">
        <f t="shared" si="0"/>
        <v>7F</v>
      </c>
      <c r="G55">
        <f t="shared" si="1"/>
        <v>0</v>
      </c>
      <c r="H55">
        <f t="shared" si="2"/>
        <v>127</v>
      </c>
      <c r="I55">
        <f t="shared" si="3"/>
        <v>0</v>
      </c>
      <c r="J55" t="str">
        <f t="shared" si="4"/>
        <v>3F</v>
      </c>
      <c r="N55" s="1">
        <v>46</v>
      </c>
      <c r="O55" s="1">
        <v>1</v>
      </c>
      <c r="P55" s="1">
        <v>4</v>
      </c>
      <c r="Q55" s="1">
        <v>1</v>
      </c>
      <c r="R55" s="1">
        <v>0</v>
      </c>
      <c r="S55" s="1" t="s">
        <v>13</v>
      </c>
      <c r="T55" s="1">
        <v>0</v>
      </c>
      <c r="U55" s="1">
        <v>127</v>
      </c>
      <c r="V55" s="1">
        <v>0</v>
      </c>
      <c r="W55" s="1" t="s">
        <v>14</v>
      </c>
    </row>
    <row r="56" spans="1:24" hidden="1">
      <c r="A56">
        <v>47</v>
      </c>
      <c r="B56" s="1">
        <v>2</v>
      </c>
      <c r="C56" s="1">
        <v>4</v>
      </c>
      <c r="D56" s="1">
        <v>1</v>
      </c>
      <c r="E56" s="1">
        <v>0</v>
      </c>
      <c r="F56" t="str">
        <f t="shared" si="0"/>
        <v>7F8000</v>
      </c>
      <c r="G56">
        <f t="shared" si="1"/>
        <v>0</v>
      </c>
      <c r="H56">
        <f t="shared" si="2"/>
        <v>8355840</v>
      </c>
      <c r="I56">
        <f t="shared" si="3"/>
        <v>0</v>
      </c>
      <c r="J56" t="str">
        <f t="shared" si="4"/>
        <v>3FC000</v>
      </c>
      <c r="N56" s="1">
        <v>80</v>
      </c>
      <c r="O56" s="1">
        <v>0</v>
      </c>
      <c r="P56" s="1">
        <v>1</v>
      </c>
      <c r="Q56" s="1">
        <v>0</v>
      </c>
      <c r="R56" s="1">
        <v>1</v>
      </c>
      <c r="S56" s="1">
        <v>0</v>
      </c>
      <c r="T56" s="1" t="s">
        <v>13</v>
      </c>
      <c r="U56" s="1">
        <v>0</v>
      </c>
      <c r="V56" s="1">
        <v>127</v>
      </c>
      <c r="W56" s="1" t="s">
        <v>14</v>
      </c>
    </row>
    <row r="57" spans="1:24" hidden="1">
      <c r="A57">
        <v>48</v>
      </c>
      <c r="B57" s="1">
        <v>3</v>
      </c>
      <c r="C57" s="1">
        <v>4</v>
      </c>
      <c r="D57" s="1">
        <v>1</v>
      </c>
      <c r="E57" s="1">
        <v>0</v>
      </c>
      <c r="F57" t="str">
        <f t="shared" si="0"/>
        <v>7F807F</v>
      </c>
      <c r="G57">
        <f t="shared" si="1"/>
        <v>0</v>
      </c>
      <c r="H57">
        <f t="shared" si="2"/>
        <v>8355967</v>
      </c>
      <c r="I57">
        <f t="shared" si="3"/>
        <v>0</v>
      </c>
      <c r="J57" t="str">
        <f t="shared" si="4"/>
        <v>3FC03F</v>
      </c>
      <c r="N57" s="1">
        <v>81</v>
      </c>
      <c r="O57" s="1">
        <v>1</v>
      </c>
      <c r="P57" s="1">
        <v>1</v>
      </c>
      <c r="Q57" s="1">
        <v>0</v>
      </c>
      <c r="R57" s="1">
        <v>1</v>
      </c>
      <c r="S57" s="1">
        <v>0</v>
      </c>
      <c r="T57" s="1" t="s">
        <v>13</v>
      </c>
      <c r="U57" s="1">
        <v>0</v>
      </c>
      <c r="V57" s="1">
        <v>127</v>
      </c>
      <c r="W57" s="1" t="s">
        <v>14</v>
      </c>
    </row>
    <row r="58" spans="1:24" hidden="1">
      <c r="A58">
        <v>49</v>
      </c>
      <c r="B58" s="1">
        <v>4</v>
      </c>
      <c r="C58" s="1">
        <v>4</v>
      </c>
      <c r="D58" s="1">
        <v>1</v>
      </c>
      <c r="E58" s="1">
        <v>0</v>
      </c>
      <c r="F58" t="str">
        <f t="shared" si="0"/>
        <v>7F80</v>
      </c>
      <c r="G58">
        <f t="shared" si="1"/>
        <v>0</v>
      </c>
      <c r="H58">
        <f t="shared" si="2"/>
        <v>32640</v>
      </c>
      <c r="I58">
        <f t="shared" si="3"/>
        <v>0</v>
      </c>
      <c r="J58" t="str">
        <f t="shared" si="4"/>
        <v>3FC0</v>
      </c>
      <c r="N58" s="1">
        <v>82</v>
      </c>
      <c r="O58" s="1">
        <v>2</v>
      </c>
      <c r="P58" s="1">
        <v>1</v>
      </c>
      <c r="Q58" s="1">
        <v>0</v>
      </c>
      <c r="R58" s="1">
        <v>1</v>
      </c>
      <c r="S58" s="1">
        <v>0</v>
      </c>
      <c r="T58" s="1" t="s">
        <v>13</v>
      </c>
      <c r="U58" s="1">
        <v>0</v>
      </c>
      <c r="V58" s="1">
        <v>127</v>
      </c>
      <c r="W58" s="1" t="s">
        <v>14</v>
      </c>
    </row>
    <row r="59" spans="1:24" hidden="1">
      <c r="A59">
        <v>50</v>
      </c>
      <c r="B59" s="1">
        <v>0</v>
      </c>
      <c r="C59" s="1">
        <v>0</v>
      </c>
      <c r="D59" s="1">
        <v>2</v>
      </c>
      <c r="E59" s="1">
        <v>0</v>
      </c>
      <c r="F59" t="str">
        <f t="shared" si="0"/>
        <v>0</v>
      </c>
      <c r="G59">
        <f t="shared" si="1"/>
        <v>0</v>
      </c>
      <c r="H59">
        <f t="shared" si="2"/>
        <v>0</v>
      </c>
      <c r="I59">
        <f t="shared" si="3"/>
        <v>0</v>
      </c>
      <c r="J59" t="str">
        <f t="shared" si="4"/>
        <v>0</v>
      </c>
      <c r="N59" s="1">
        <v>83</v>
      </c>
      <c r="O59" s="1">
        <v>3</v>
      </c>
      <c r="P59" s="1">
        <v>1</v>
      </c>
      <c r="Q59" s="1">
        <v>0</v>
      </c>
      <c r="R59" s="1">
        <v>1</v>
      </c>
      <c r="S59" s="1">
        <v>0</v>
      </c>
      <c r="T59" s="1" t="s">
        <v>13</v>
      </c>
      <c r="U59" s="1">
        <v>0</v>
      </c>
      <c r="V59" s="1">
        <v>127</v>
      </c>
      <c r="W59" s="1" t="s">
        <v>14</v>
      </c>
    </row>
    <row r="60" spans="1:24">
      <c r="A60">
        <v>51</v>
      </c>
      <c r="B60" s="1">
        <v>1</v>
      </c>
      <c r="C60" s="1">
        <v>0</v>
      </c>
      <c r="D60" s="1">
        <v>2</v>
      </c>
      <c r="E60" s="1">
        <v>0</v>
      </c>
      <c r="F60" t="str">
        <f t="shared" si="0"/>
        <v>FF</v>
      </c>
      <c r="G60">
        <f t="shared" si="1"/>
        <v>0</v>
      </c>
      <c r="H60">
        <f t="shared" si="2"/>
        <v>255</v>
      </c>
      <c r="I60">
        <f t="shared" si="3"/>
        <v>0</v>
      </c>
      <c r="J60" t="str">
        <f t="shared" si="4"/>
        <v>7F</v>
      </c>
      <c r="N60" s="1">
        <v>84</v>
      </c>
      <c r="O60" s="1">
        <v>4</v>
      </c>
      <c r="P60" s="1">
        <v>1</v>
      </c>
      <c r="Q60" s="1">
        <v>0</v>
      </c>
      <c r="R60" s="1">
        <v>1</v>
      </c>
      <c r="S60" s="1">
        <v>0</v>
      </c>
      <c r="T60" s="1" t="s">
        <v>13</v>
      </c>
      <c r="U60" s="1">
        <v>0</v>
      </c>
      <c r="V60" s="1">
        <v>127</v>
      </c>
      <c r="W60" s="1" t="s">
        <v>14</v>
      </c>
    </row>
    <row r="61" spans="1:24" hidden="1">
      <c r="A61">
        <v>52</v>
      </c>
      <c r="B61" s="1">
        <v>2</v>
      </c>
      <c r="C61" s="1">
        <v>0</v>
      </c>
      <c r="D61" s="1">
        <v>2</v>
      </c>
      <c r="E61" s="1">
        <v>0</v>
      </c>
      <c r="F61" t="str">
        <f t="shared" si="0"/>
        <v>FF0000</v>
      </c>
      <c r="G61">
        <f t="shared" si="1"/>
        <v>0</v>
      </c>
      <c r="H61">
        <f t="shared" si="2"/>
        <v>16711680</v>
      </c>
      <c r="I61">
        <f t="shared" si="3"/>
        <v>0</v>
      </c>
      <c r="J61" t="str">
        <f t="shared" si="4"/>
        <v>7F8000</v>
      </c>
      <c r="N61" s="1">
        <v>101</v>
      </c>
      <c r="O61" s="1">
        <v>1</v>
      </c>
      <c r="P61" s="1">
        <v>0</v>
      </c>
      <c r="Q61" s="1">
        <v>1</v>
      </c>
      <c r="R61" s="1">
        <v>1</v>
      </c>
      <c r="S61" s="1" t="s">
        <v>13</v>
      </c>
      <c r="T61" s="1" t="s">
        <v>12</v>
      </c>
      <c r="U61" s="1">
        <v>127</v>
      </c>
      <c r="V61" s="1">
        <v>0</v>
      </c>
      <c r="W61" s="1" t="s">
        <v>14</v>
      </c>
      <c r="X61">
        <f>INT(W61&lt;&gt;W20)</f>
        <v>1</v>
      </c>
    </row>
    <row r="62" spans="1:24" hidden="1">
      <c r="A62">
        <v>53</v>
      </c>
      <c r="B62" s="1">
        <v>3</v>
      </c>
      <c r="C62" s="1">
        <v>0</v>
      </c>
      <c r="D62" s="1">
        <v>2</v>
      </c>
      <c r="E62" s="1">
        <v>0</v>
      </c>
      <c r="F62" t="str">
        <f t="shared" si="0"/>
        <v>FF00FF</v>
      </c>
      <c r="G62">
        <f t="shared" si="1"/>
        <v>0</v>
      </c>
      <c r="H62">
        <f t="shared" si="2"/>
        <v>16711935</v>
      </c>
      <c r="I62">
        <f t="shared" si="3"/>
        <v>0</v>
      </c>
      <c r="J62" t="str">
        <f t="shared" si="4"/>
        <v>7F807F</v>
      </c>
      <c r="N62" s="1">
        <v>105</v>
      </c>
      <c r="O62" s="1">
        <v>0</v>
      </c>
      <c r="P62" s="1">
        <v>1</v>
      </c>
      <c r="Q62" s="1">
        <v>1</v>
      </c>
      <c r="R62" s="1">
        <v>1</v>
      </c>
      <c r="S62" s="1" t="s">
        <v>12</v>
      </c>
      <c r="T62" s="1" t="s">
        <v>13</v>
      </c>
      <c r="U62" s="1">
        <v>0</v>
      </c>
      <c r="V62" s="1">
        <v>127</v>
      </c>
      <c r="W62" s="1" t="s">
        <v>14</v>
      </c>
    </row>
    <row r="63" spans="1:24" hidden="1">
      <c r="A63">
        <v>54</v>
      </c>
      <c r="B63" s="1">
        <v>4</v>
      </c>
      <c r="C63" s="1">
        <v>0</v>
      </c>
      <c r="D63" s="1">
        <v>2</v>
      </c>
      <c r="E63" s="1">
        <v>0</v>
      </c>
      <c r="F63" t="str">
        <f t="shared" si="0"/>
        <v>FF00</v>
      </c>
      <c r="G63">
        <f t="shared" si="1"/>
        <v>0</v>
      </c>
      <c r="H63">
        <f t="shared" si="2"/>
        <v>65280</v>
      </c>
      <c r="I63">
        <f t="shared" si="3"/>
        <v>0</v>
      </c>
      <c r="J63" t="str">
        <f t="shared" si="4"/>
        <v>7F80</v>
      </c>
      <c r="N63" s="1">
        <v>130</v>
      </c>
      <c r="O63" s="1">
        <v>0</v>
      </c>
      <c r="P63" s="1">
        <v>1</v>
      </c>
      <c r="Q63" s="1">
        <v>2</v>
      </c>
      <c r="R63" s="1">
        <v>1</v>
      </c>
      <c r="S63" s="1" t="s">
        <v>12</v>
      </c>
      <c r="T63" s="1" t="s">
        <v>13</v>
      </c>
      <c r="U63" s="1">
        <v>0</v>
      </c>
      <c r="V63" s="1">
        <v>127</v>
      </c>
      <c r="W63" s="1" t="s">
        <v>14</v>
      </c>
    </row>
    <row r="64" spans="1:24" hidden="1">
      <c r="A64">
        <v>55</v>
      </c>
      <c r="B64" s="1">
        <v>0</v>
      </c>
      <c r="C64" s="1">
        <v>1</v>
      </c>
      <c r="D64" s="1">
        <v>2</v>
      </c>
      <c r="E64" s="1">
        <v>0</v>
      </c>
      <c r="F64" t="str">
        <f t="shared" si="0"/>
        <v>0</v>
      </c>
      <c r="G64">
        <f t="shared" si="1"/>
        <v>0</v>
      </c>
      <c r="H64">
        <f t="shared" si="2"/>
        <v>0</v>
      </c>
      <c r="I64">
        <f t="shared" si="3"/>
        <v>0</v>
      </c>
      <c r="J64" t="str">
        <f t="shared" si="4"/>
        <v>0</v>
      </c>
      <c r="N64" s="1">
        <v>176</v>
      </c>
      <c r="O64" s="1">
        <v>1</v>
      </c>
      <c r="P64" s="1">
        <v>0</v>
      </c>
      <c r="Q64" s="1">
        <v>1</v>
      </c>
      <c r="R64" s="1">
        <v>2</v>
      </c>
      <c r="S64" s="1" t="s">
        <v>13</v>
      </c>
      <c r="T64" s="1" t="s">
        <v>12</v>
      </c>
      <c r="U64" s="1">
        <v>127</v>
      </c>
      <c r="V64" s="1">
        <v>0</v>
      </c>
      <c r="W64" s="1" t="s">
        <v>14</v>
      </c>
    </row>
    <row r="65" spans="1:23" hidden="1">
      <c r="A65">
        <v>56</v>
      </c>
      <c r="B65" s="1">
        <v>1</v>
      </c>
      <c r="C65" s="1">
        <v>1</v>
      </c>
      <c r="D65" s="1">
        <v>2</v>
      </c>
      <c r="E65" s="1">
        <v>0</v>
      </c>
      <c r="F65" t="str">
        <f t="shared" si="0"/>
        <v>FF</v>
      </c>
      <c r="G65">
        <f t="shared" si="1"/>
        <v>0</v>
      </c>
      <c r="H65">
        <f t="shared" si="2"/>
        <v>255</v>
      </c>
      <c r="I65">
        <f t="shared" si="3"/>
        <v>0</v>
      </c>
      <c r="J65" t="str">
        <f t="shared" si="4"/>
        <v>7F</v>
      </c>
      <c r="N65" s="1">
        <v>29</v>
      </c>
      <c r="O65" s="1">
        <v>4</v>
      </c>
      <c r="P65" s="1">
        <v>0</v>
      </c>
      <c r="Q65" s="1">
        <v>1</v>
      </c>
      <c r="R65" s="1">
        <v>0</v>
      </c>
      <c r="S65" s="1" t="s">
        <v>19</v>
      </c>
      <c r="T65" s="1">
        <v>0</v>
      </c>
      <c r="U65" s="1">
        <v>32640</v>
      </c>
      <c r="V65" s="1">
        <v>0</v>
      </c>
      <c r="W65" s="1" t="s">
        <v>20</v>
      </c>
    </row>
    <row r="66" spans="1:23">
      <c r="A66">
        <v>57</v>
      </c>
      <c r="B66" s="1">
        <v>2</v>
      </c>
      <c r="C66" s="1">
        <v>1</v>
      </c>
      <c r="D66" s="1">
        <v>2</v>
      </c>
      <c r="E66" s="1">
        <v>0</v>
      </c>
      <c r="F66" t="str">
        <f t="shared" si="0"/>
        <v>FF0000</v>
      </c>
      <c r="G66">
        <f t="shared" si="1"/>
        <v>0</v>
      </c>
      <c r="H66">
        <f t="shared" si="2"/>
        <v>16711680</v>
      </c>
      <c r="I66">
        <f t="shared" si="3"/>
        <v>0</v>
      </c>
      <c r="J66" t="str">
        <f t="shared" si="4"/>
        <v>7F8000</v>
      </c>
      <c r="N66" s="1">
        <v>34</v>
      </c>
      <c r="O66" s="1">
        <v>4</v>
      </c>
      <c r="P66" s="1">
        <v>1</v>
      </c>
      <c r="Q66" s="1">
        <v>1</v>
      </c>
      <c r="R66" s="1">
        <v>0</v>
      </c>
      <c r="S66" s="1" t="s">
        <v>19</v>
      </c>
      <c r="T66" s="1">
        <v>0</v>
      </c>
      <c r="U66" s="1">
        <v>32640</v>
      </c>
      <c r="V66" s="1">
        <v>0</v>
      </c>
      <c r="W66" s="1" t="s">
        <v>20</v>
      </c>
    </row>
    <row r="67" spans="1:23" hidden="1">
      <c r="A67">
        <v>58</v>
      </c>
      <c r="B67" s="1">
        <v>3</v>
      </c>
      <c r="C67" s="1">
        <v>1</v>
      </c>
      <c r="D67" s="1">
        <v>2</v>
      </c>
      <c r="E67" s="1">
        <v>0</v>
      </c>
      <c r="F67" t="str">
        <f t="shared" si="0"/>
        <v>FF00FF</v>
      </c>
      <c r="G67">
        <f t="shared" si="1"/>
        <v>0</v>
      </c>
      <c r="H67">
        <f t="shared" si="2"/>
        <v>16711935</v>
      </c>
      <c r="I67">
        <f t="shared" si="3"/>
        <v>0</v>
      </c>
      <c r="J67" t="str">
        <f t="shared" si="4"/>
        <v>7F807F</v>
      </c>
      <c r="N67" s="1">
        <v>39</v>
      </c>
      <c r="O67" s="1">
        <v>4</v>
      </c>
      <c r="P67" s="1">
        <v>2</v>
      </c>
      <c r="Q67" s="1">
        <v>1</v>
      </c>
      <c r="R67" s="1">
        <v>0</v>
      </c>
      <c r="S67" s="1" t="s">
        <v>19</v>
      </c>
      <c r="T67" s="1">
        <v>0</v>
      </c>
      <c r="U67" s="1">
        <v>32640</v>
      </c>
      <c r="V67" s="1">
        <v>0</v>
      </c>
      <c r="W67" s="1" t="s">
        <v>20</v>
      </c>
    </row>
    <row r="68" spans="1:23" hidden="1">
      <c r="A68">
        <v>59</v>
      </c>
      <c r="B68" s="1">
        <v>4</v>
      </c>
      <c r="C68" s="1">
        <v>1</v>
      </c>
      <c r="D68" s="1">
        <v>2</v>
      </c>
      <c r="E68" s="1">
        <v>0</v>
      </c>
      <c r="F68" t="str">
        <f t="shared" si="0"/>
        <v>FF00</v>
      </c>
      <c r="G68">
        <f t="shared" si="1"/>
        <v>0</v>
      </c>
      <c r="H68">
        <f t="shared" si="2"/>
        <v>65280</v>
      </c>
      <c r="I68">
        <f t="shared" si="3"/>
        <v>0</v>
      </c>
      <c r="J68" t="str">
        <f t="shared" si="4"/>
        <v>7F80</v>
      </c>
      <c r="N68" s="1">
        <v>44</v>
      </c>
      <c r="O68" s="1">
        <v>4</v>
      </c>
      <c r="P68" s="1">
        <v>3</v>
      </c>
      <c r="Q68" s="1">
        <v>1</v>
      </c>
      <c r="R68" s="1">
        <v>0</v>
      </c>
      <c r="S68" s="1" t="s">
        <v>19</v>
      </c>
      <c r="T68" s="1">
        <v>0</v>
      </c>
      <c r="U68" s="1">
        <v>32640</v>
      </c>
      <c r="V68" s="1">
        <v>0</v>
      </c>
      <c r="W68" s="1" t="s">
        <v>20</v>
      </c>
    </row>
    <row r="69" spans="1:23" hidden="1">
      <c r="A69">
        <v>60</v>
      </c>
      <c r="B69" s="1">
        <v>0</v>
      </c>
      <c r="C69" s="1">
        <v>2</v>
      </c>
      <c r="D69" s="1">
        <v>2</v>
      </c>
      <c r="E69" s="1">
        <v>0</v>
      </c>
      <c r="F69" t="str">
        <f t="shared" si="0"/>
        <v>0</v>
      </c>
      <c r="G69">
        <f t="shared" si="1"/>
        <v>0</v>
      </c>
      <c r="H69">
        <f t="shared" si="2"/>
        <v>0</v>
      </c>
      <c r="I69">
        <f t="shared" si="3"/>
        <v>0</v>
      </c>
      <c r="J69" t="str">
        <f t="shared" si="4"/>
        <v>0</v>
      </c>
      <c r="N69" s="1">
        <v>49</v>
      </c>
      <c r="O69" s="1">
        <v>4</v>
      </c>
      <c r="P69" s="1">
        <v>4</v>
      </c>
      <c r="Q69" s="1">
        <v>1</v>
      </c>
      <c r="R69" s="1">
        <v>0</v>
      </c>
      <c r="S69" s="1" t="s">
        <v>19</v>
      </c>
      <c r="T69" s="1">
        <v>0</v>
      </c>
      <c r="U69" s="1">
        <v>32640</v>
      </c>
      <c r="V69" s="1">
        <v>0</v>
      </c>
      <c r="W69" s="1" t="s">
        <v>20</v>
      </c>
    </row>
    <row r="70" spans="1:23" hidden="1">
      <c r="A70">
        <v>61</v>
      </c>
      <c r="B70" s="1">
        <v>1</v>
      </c>
      <c r="C70" s="1">
        <v>2</v>
      </c>
      <c r="D70" s="1">
        <v>2</v>
      </c>
      <c r="E70" s="1">
        <v>0</v>
      </c>
      <c r="F70" t="str">
        <f t="shared" si="0"/>
        <v>FF</v>
      </c>
      <c r="G70">
        <f t="shared" si="1"/>
        <v>0</v>
      </c>
      <c r="H70">
        <f t="shared" si="2"/>
        <v>255</v>
      </c>
      <c r="I70">
        <f t="shared" si="3"/>
        <v>0</v>
      </c>
      <c r="J70" t="str">
        <f t="shared" si="4"/>
        <v>7F</v>
      </c>
      <c r="N70" s="1">
        <v>95</v>
      </c>
      <c r="O70" s="1">
        <v>0</v>
      </c>
      <c r="P70" s="1">
        <v>4</v>
      </c>
      <c r="Q70" s="1">
        <v>0</v>
      </c>
      <c r="R70" s="1">
        <v>1</v>
      </c>
      <c r="S70" s="1">
        <v>0</v>
      </c>
      <c r="T70" s="1" t="s">
        <v>19</v>
      </c>
      <c r="U70" s="1">
        <v>0</v>
      </c>
      <c r="V70" s="1">
        <v>32640</v>
      </c>
      <c r="W70" s="1" t="s">
        <v>20</v>
      </c>
    </row>
    <row r="71" spans="1:23" hidden="1">
      <c r="A71">
        <v>62</v>
      </c>
      <c r="B71" s="1">
        <v>2</v>
      </c>
      <c r="C71" s="1">
        <v>2</v>
      </c>
      <c r="D71" s="1">
        <v>2</v>
      </c>
      <c r="E71" s="1">
        <v>0</v>
      </c>
      <c r="F71" t="str">
        <f t="shared" si="0"/>
        <v>FF0000</v>
      </c>
      <c r="G71">
        <f t="shared" si="1"/>
        <v>0</v>
      </c>
      <c r="H71">
        <f t="shared" si="2"/>
        <v>16711680</v>
      </c>
      <c r="I71">
        <f t="shared" si="3"/>
        <v>0</v>
      </c>
      <c r="J71" t="str">
        <f t="shared" si="4"/>
        <v>7F8000</v>
      </c>
      <c r="N71" s="1">
        <v>96</v>
      </c>
      <c r="O71" s="1">
        <v>1</v>
      </c>
      <c r="P71" s="1">
        <v>4</v>
      </c>
      <c r="Q71" s="1">
        <v>0</v>
      </c>
      <c r="R71" s="1">
        <v>1</v>
      </c>
      <c r="S71" s="1">
        <v>0</v>
      </c>
      <c r="T71" s="1" t="s">
        <v>19</v>
      </c>
      <c r="U71" s="1">
        <v>0</v>
      </c>
      <c r="V71" s="1">
        <v>32640</v>
      </c>
      <c r="W71" s="1" t="s">
        <v>20</v>
      </c>
    </row>
    <row r="72" spans="1:23" hidden="1">
      <c r="A72">
        <v>63</v>
      </c>
      <c r="B72" s="1">
        <v>3</v>
      </c>
      <c r="C72" s="1">
        <v>2</v>
      </c>
      <c r="D72" s="1">
        <v>2</v>
      </c>
      <c r="E72" s="1">
        <v>0</v>
      </c>
      <c r="F72" t="str">
        <f t="shared" si="0"/>
        <v>FF00FF</v>
      </c>
      <c r="G72">
        <f t="shared" si="1"/>
        <v>0</v>
      </c>
      <c r="H72">
        <f t="shared" si="2"/>
        <v>16711935</v>
      </c>
      <c r="I72">
        <f t="shared" si="3"/>
        <v>0</v>
      </c>
      <c r="J72" t="str">
        <f t="shared" si="4"/>
        <v>7F807F</v>
      </c>
      <c r="N72" s="1">
        <v>97</v>
      </c>
      <c r="O72" s="1">
        <v>2</v>
      </c>
      <c r="P72" s="1">
        <v>4</v>
      </c>
      <c r="Q72" s="1">
        <v>0</v>
      </c>
      <c r="R72" s="1">
        <v>1</v>
      </c>
      <c r="S72" s="1">
        <v>0</v>
      </c>
      <c r="T72" s="1" t="s">
        <v>19</v>
      </c>
      <c r="U72" s="1">
        <v>0</v>
      </c>
      <c r="V72" s="1">
        <v>32640</v>
      </c>
      <c r="W72" s="1" t="s">
        <v>20</v>
      </c>
    </row>
    <row r="73" spans="1:23" hidden="1">
      <c r="A73">
        <v>64</v>
      </c>
      <c r="B73" s="1">
        <v>4</v>
      </c>
      <c r="C73" s="1">
        <v>2</v>
      </c>
      <c r="D73" s="1">
        <v>2</v>
      </c>
      <c r="E73" s="1">
        <v>0</v>
      </c>
      <c r="F73" t="str">
        <f t="shared" si="0"/>
        <v>FF00</v>
      </c>
      <c r="G73">
        <f t="shared" si="1"/>
        <v>0</v>
      </c>
      <c r="H73">
        <f t="shared" si="2"/>
        <v>65280</v>
      </c>
      <c r="I73">
        <f t="shared" si="3"/>
        <v>0</v>
      </c>
      <c r="J73" t="str">
        <f t="shared" si="4"/>
        <v>7F80</v>
      </c>
      <c r="N73" s="1">
        <v>98</v>
      </c>
      <c r="O73" s="1">
        <v>3</v>
      </c>
      <c r="P73" s="1">
        <v>4</v>
      </c>
      <c r="Q73" s="1">
        <v>0</v>
      </c>
      <c r="R73" s="1">
        <v>1</v>
      </c>
      <c r="S73" s="1">
        <v>0</v>
      </c>
      <c r="T73" s="1" t="s">
        <v>19</v>
      </c>
      <c r="U73" s="1">
        <v>0</v>
      </c>
      <c r="V73" s="1">
        <v>32640</v>
      </c>
      <c r="W73" s="1" t="s">
        <v>20</v>
      </c>
    </row>
    <row r="74" spans="1:23" hidden="1">
      <c r="A74">
        <v>65</v>
      </c>
      <c r="B74" s="1">
        <v>0</v>
      </c>
      <c r="C74" s="1">
        <v>3</v>
      </c>
      <c r="D74" s="1">
        <v>2</v>
      </c>
      <c r="E74" s="1">
        <v>0</v>
      </c>
      <c r="F74" t="str">
        <f t="shared" ref="F74:F137" si="6">VLOOKUP(B74,$A$2:$G$6,5+D74,0)</f>
        <v>0</v>
      </c>
      <c r="G74">
        <f t="shared" ref="G74:G137" si="7">VLOOKUP(C74,$A$2:$G$6,5+E74,0)</f>
        <v>0</v>
      </c>
      <c r="H74">
        <f t="shared" ref="H74:H137" si="8">HEX2DEC(F74)</f>
        <v>0</v>
      </c>
      <c r="I74">
        <f t="shared" ref="I74:I137" si="9">HEX2DEC(G74)</f>
        <v>0</v>
      </c>
      <c r="J74" t="str">
        <f t="shared" ref="J74:J137" si="10">DEC2HEX((H74+I74)/2)</f>
        <v>0</v>
      </c>
      <c r="N74" s="1">
        <v>99</v>
      </c>
      <c r="O74" s="1">
        <v>4</v>
      </c>
      <c r="P74" s="1">
        <v>4</v>
      </c>
      <c r="Q74" s="1">
        <v>0</v>
      </c>
      <c r="R74" s="1">
        <v>1</v>
      </c>
      <c r="S74" s="1">
        <v>0</v>
      </c>
      <c r="T74" s="1" t="s">
        <v>19</v>
      </c>
      <c r="U74" s="1">
        <v>0</v>
      </c>
      <c r="V74" s="1">
        <v>32640</v>
      </c>
      <c r="W74" s="1" t="s">
        <v>20</v>
      </c>
    </row>
    <row r="75" spans="1:23" hidden="1">
      <c r="A75">
        <v>66</v>
      </c>
      <c r="B75" s="1">
        <v>1</v>
      </c>
      <c r="C75" s="1">
        <v>3</v>
      </c>
      <c r="D75" s="1">
        <v>2</v>
      </c>
      <c r="E75" s="1">
        <v>0</v>
      </c>
      <c r="F75" t="str">
        <f t="shared" si="6"/>
        <v>FF</v>
      </c>
      <c r="G75">
        <f t="shared" si="7"/>
        <v>0</v>
      </c>
      <c r="H75">
        <f t="shared" si="8"/>
        <v>255</v>
      </c>
      <c r="I75">
        <f t="shared" si="9"/>
        <v>0</v>
      </c>
      <c r="J75" t="str">
        <f t="shared" si="10"/>
        <v>7F</v>
      </c>
      <c r="N75" s="1">
        <v>104</v>
      </c>
      <c r="O75" s="1">
        <v>4</v>
      </c>
      <c r="P75" s="1">
        <v>0</v>
      </c>
      <c r="Q75" s="1">
        <v>1</v>
      </c>
      <c r="R75" s="1">
        <v>1</v>
      </c>
      <c r="S75" s="1" t="s">
        <v>19</v>
      </c>
      <c r="T75" s="1" t="s">
        <v>12</v>
      </c>
      <c r="U75" s="1">
        <v>32640</v>
      </c>
      <c r="V75" s="1">
        <v>0</v>
      </c>
      <c r="W75" s="1" t="s">
        <v>20</v>
      </c>
    </row>
    <row r="76" spans="1:23" hidden="1">
      <c r="A76">
        <v>67</v>
      </c>
      <c r="B76" s="1">
        <v>2</v>
      </c>
      <c r="C76" s="1">
        <v>3</v>
      </c>
      <c r="D76" s="1">
        <v>2</v>
      </c>
      <c r="E76" s="1">
        <v>0</v>
      </c>
      <c r="F76" t="str">
        <f t="shared" si="6"/>
        <v>FF0000</v>
      </c>
      <c r="G76">
        <f t="shared" si="7"/>
        <v>0</v>
      </c>
      <c r="H76">
        <f t="shared" si="8"/>
        <v>16711680</v>
      </c>
      <c r="I76">
        <f t="shared" si="9"/>
        <v>0</v>
      </c>
      <c r="J76" t="str">
        <f t="shared" si="10"/>
        <v>7F8000</v>
      </c>
      <c r="N76" s="1">
        <v>120</v>
      </c>
      <c r="O76" s="1">
        <v>0</v>
      </c>
      <c r="P76" s="1">
        <v>4</v>
      </c>
      <c r="Q76" s="1">
        <v>1</v>
      </c>
      <c r="R76" s="1">
        <v>1</v>
      </c>
      <c r="S76" s="1" t="s">
        <v>12</v>
      </c>
      <c r="T76" s="1" t="s">
        <v>19</v>
      </c>
      <c r="U76" s="1">
        <v>0</v>
      </c>
      <c r="V76" s="1">
        <v>32640</v>
      </c>
      <c r="W76" s="1" t="s">
        <v>20</v>
      </c>
    </row>
    <row r="77" spans="1:23" hidden="1">
      <c r="A77">
        <v>68</v>
      </c>
      <c r="B77" s="1">
        <v>3</v>
      </c>
      <c r="C77" s="1">
        <v>3</v>
      </c>
      <c r="D77" s="1">
        <v>2</v>
      </c>
      <c r="E77" s="1">
        <v>0</v>
      </c>
      <c r="F77" t="str">
        <f t="shared" si="6"/>
        <v>FF00FF</v>
      </c>
      <c r="G77">
        <f t="shared" si="7"/>
        <v>0</v>
      </c>
      <c r="H77">
        <f t="shared" si="8"/>
        <v>16711935</v>
      </c>
      <c r="I77">
        <f t="shared" si="9"/>
        <v>0</v>
      </c>
      <c r="J77" t="str">
        <f t="shared" si="10"/>
        <v>7F807F</v>
      </c>
      <c r="N77" s="1">
        <v>145</v>
      </c>
      <c r="O77" s="1">
        <v>0</v>
      </c>
      <c r="P77" s="1">
        <v>4</v>
      </c>
      <c r="Q77" s="1">
        <v>2</v>
      </c>
      <c r="R77" s="1">
        <v>1</v>
      </c>
      <c r="S77" s="1" t="s">
        <v>12</v>
      </c>
      <c r="T77" s="1" t="s">
        <v>19</v>
      </c>
      <c r="U77" s="1">
        <v>0</v>
      </c>
      <c r="V77" s="1">
        <v>32640</v>
      </c>
      <c r="W77" s="1" t="s">
        <v>20</v>
      </c>
    </row>
    <row r="78" spans="1:23" hidden="1">
      <c r="A78">
        <v>69</v>
      </c>
      <c r="B78" s="1">
        <v>4</v>
      </c>
      <c r="C78" s="1">
        <v>3</v>
      </c>
      <c r="D78" s="1">
        <v>2</v>
      </c>
      <c r="E78" s="1">
        <v>0</v>
      </c>
      <c r="F78" t="str">
        <f t="shared" si="6"/>
        <v>FF00</v>
      </c>
      <c r="G78">
        <f t="shared" si="7"/>
        <v>0</v>
      </c>
      <c r="H78">
        <f t="shared" si="8"/>
        <v>65280</v>
      </c>
      <c r="I78">
        <f t="shared" si="9"/>
        <v>0</v>
      </c>
      <c r="J78" t="str">
        <f t="shared" si="10"/>
        <v>7F80</v>
      </c>
      <c r="N78" s="1">
        <v>179</v>
      </c>
      <c r="O78" s="1">
        <v>4</v>
      </c>
      <c r="P78" s="1">
        <v>0</v>
      </c>
      <c r="Q78" s="1">
        <v>1</v>
      </c>
      <c r="R78" s="1">
        <v>2</v>
      </c>
      <c r="S78" s="1" t="s">
        <v>19</v>
      </c>
      <c r="T78" s="1" t="s">
        <v>12</v>
      </c>
      <c r="U78" s="1">
        <v>32640</v>
      </c>
      <c r="V78" s="1">
        <v>0</v>
      </c>
      <c r="W78" s="1" t="s">
        <v>20</v>
      </c>
    </row>
    <row r="79" spans="1:23" hidden="1">
      <c r="A79">
        <v>70</v>
      </c>
      <c r="B79" s="1">
        <v>0</v>
      </c>
      <c r="C79" s="1">
        <v>4</v>
      </c>
      <c r="D79" s="1">
        <v>2</v>
      </c>
      <c r="E79" s="1">
        <v>0</v>
      </c>
      <c r="F79" t="str">
        <f t="shared" si="6"/>
        <v>0</v>
      </c>
      <c r="G79">
        <f t="shared" si="7"/>
        <v>0</v>
      </c>
      <c r="H79">
        <f t="shared" si="8"/>
        <v>0</v>
      </c>
      <c r="I79">
        <f t="shared" si="9"/>
        <v>0</v>
      </c>
      <c r="J79" t="str">
        <f t="shared" si="10"/>
        <v>0</v>
      </c>
      <c r="N79" s="1">
        <v>27</v>
      </c>
      <c r="O79" s="1">
        <v>2</v>
      </c>
      <c r="P79" s="1">
        <v>0</v>
      </c>
      <c r="Q79" s="1">
        <v>1</v>
      </c>
      <c r="R79" s="1">
        <v>0</v>
      </c>
      <c r="S79" s="1" t="s">
        <v>15</v>
      </c>
      <c r="T79" s="1">
        <v>0</v>
      </c>
      <c r="U79" s="1">
        <v>8355840</v>
      </c>
      <c r="V79" s="1">
        <v>0</v>
      </c>
      <c r="W79" s="1" t="s">
        <v>16</v>
      </c>
    </row>
    <row r="80" spans="1:23" hidden="1">
      <c r="A80">
        <v>71</v>
      </c>
      <c r="B80" s="1">
        <v>1</v>
      </c>
      <c r="C80" s="1">
        <v>4</v>
      </c>
      <c r="D80" s="1">
        <v>2</v>
      </c>
      <c r="E80" s="1">
        <v>0</v>
      </c>
      <c r="F80" t="str">
        <f t="shared" si="6"/>
        <v>FF</v>
      </c>
      <c r="G80">
        <f t="shared" si="7"/>
        <v>0</v>
      </c>
      <c r="H80">
        <f t="shared" si="8"/>
        <v>255</v>
      </c>
      <c r="I80">
        <f t="shared" si="9"/>
        <v>0</v>
      </c>
      <c r="J80" t="str">
        <f t="shared" si="10"/>
        <v>7F</v>
      </c>
      <c r="N80" s="1">
        <v>32</v>
      </c>
      <c r="O80" s="1">
        <v>2</v>
      </c>
      <c r="P80" s="1">
        <v>1</v>
      </c>
      <c r="Q80" s="1">
        <v>1</v>
      </c>
      <c r="R80" s="1">
        <v>0</v>
      </c>
      <c r="S80" s="1" t="s">
        <v>15</v>
      </c>
      <c r="T80" s="1">
        <v>0</v>
      </c>
      <c r="U80" s="1">
        <v>8355840</v>
      </c>
      <c r="V80" s="1">
        <v>0</v>
      </c>
      <c r="W80" s="1" t="s">
        <v>16</v>
      </c>
    </row>
    <row r="81" spans="1:23" hidden="1">
      <c r="A81">
        <v>72</v>
      </c>
      <c r="B81" s="1">
        <v>2</v>
      </c>
      <c r="C81" s="1">
        <v>4</v>
      </c>
      <c r="D81" s="1">
        <v>2</v>
      </c>
      <c r="E81" s="1">
        <v>0</v>
      </c>
      <c r="F81" t="str">
        <f t="shared" si="6"/>
        <v>FF0000</v>
      </c>
      <c r="G81">
        <f t="shared" si="7"/>
        <v>0</v>
      </c>
      <c r="H81">
        <f t="shared" si="8"/>
        <v>16711680</v>
      </c>
      <c r="I81">
        <f t="shared" si="9"/>
        <v>0</v>
      </c>
      <c r="J81" t="str">
        <f t="shared" si="10"/>
        <v>7F8000</v>
      </c>
      <c r="N81" s="1">
        <v>37</v>
      </c>
      <c r="O81" s="1">
        <v>2</v>
      </c>
      <c r="P81" s="1">
        <v>2</v>
      </c>
      <c r="Q81" s="1">
        <v>1</v>
      </c>
      <c r="R81" s="1">
        <v>0</v>
      </c>
      <c r="S81" s="1" t="s">
        <v>15</v>
      </c>
      <c r="T81" s="1">
        <v>0</v>
      </c>
      <c r="U81" s="1">
        <v>8355840</v>
      </c>
      <c r="V81" s="1">
        <v>0</v>
      </c>
      <c r="W81" s="1" t="s">
        <v>16</v>
      </c>
    </row>
    <row r="82" spans="1:23" hidden="1">
      <c r="A82">
        <v>73</v>
      </c>
      <c r="B82" s="1">
        <v>3</v>
      </c>
      <c r="C82" s="1">
        <v>4</v>
      </c>
      <c r="D82" s="1">
        <v>2</v>
      </c>
      <c r="E82" s="1">
        <v>0</v>
      </c>
      <c r="F82" t="str">
        <f t="shared" si="6"/>
        <v>FF00FF</v>
      </c>
      <c r="G82">
        <f t="shared" si="7"/>
        <v>0</v>
      </c>
      <c r="H82">
        <f t="shared" si="8"/>
        <v>16711935</v>
      </c>
      <c r="I82">
        <f t="shared" si="9"/>
        <v>0</v>
      </c>
      <c r="J82" t="str">
        <f t="shared" si="10"/>
        <v>7F807F</v>
      </c>
      <c r="N82" s="1">
        <v>42</v>
      </c>
      <c r="O82" s="1">
        <v>2</v>
      </c>
      <c r="P82" s="1">
        <v>3</v>
      </c>
      <c r="Q82" s="1">
        <v>1</v>
      </c>
      <c r="R82" s="1">
        <v>0</v>
      </c>
      <c r="S82" s="1" t="s">
        <v>15</v>
      </c>
      <c r="T82" s="1">
        <v>0</v>
      </c>
      <c r="U82" s="1">
        <v>8355840</v>
      </c>
      <c r="V82" s="1">
        <v>0</v>
      </c>
      <c r="W82" s="1" t="s">
        <v>16</v>
      </c>
    </row>
    <row r="83" spans="1:23" hidden="1">
      <c r="A83">
        <v>74</v>
      </c>
      <c r="B83" s="1">
        <v>4</v>
      </c>
      <c r="C83" s="1">
        <v>4</v>
      </c>
      <c r="D83" s="1">
        <v>2</v>
      </c>
      <c r="E83" s="1">
        <v>0</v>
      </c>
      <c r="F83" t="str">
        <f t="shared" si="6"/>
        <v>FF00</v>
      </c>
      <c r="G83">
        <f t="shared" si="7"/>
        <v>0</v>
      </c>
      <c r="H83">
        <f t="shared" si="8"/>
        <v>65280</v>
      </c>
      <c r="I83">
        <f t="shared" si="9"/>
        <v>0</v>
      </c>
      <c r="J83" t="str">
        <f t="shared" si="10"/>
        <v>7F80</v>
      </c>
      <c r="N83" s="1">
        <v>47</v>
      </c>
      <c r="O83" s="1">
        <v>2</v>
      </c>
      <c r="P83" s="1">
        <v>4</v>
      </c>
      <c r="Q83" s="1">
        <v>1</v>
      </c>
      <c r="R83" s="1">
        <v>0</v>
      </c>
      <c r="S83" s="1" t="s">
        <v>15</v>
      </c>
      <c r="T83" s="1">
        <v>0</v>
      </c>
      <c r="U83" s="1">
        <v>8355840</v>
      </c>
      <c r="V83" s="1">
        <v>0</v>
      </c>
      <c r="W83" s="1" t="s">
        <v>16</v>
      </c>
    </row>
    <row r="84" spans="1:23" hidden="1">
      <c r="A84">
        <v>75</v>
      </c>
      <c r="B84" s="1">
        <v>0</v>
      </c>
      <c r="C84" s="1">
        <v>0</v>
      </c>
      <c r="D84" s="1">
        <v>0</v>
      </c>
      <c r="E84" s="1">
        <v>1</v>
      </c>
      <c r="F84">
        <f t="shared" si="6"/>
        <v>0</v>
      </c>
      <c r="G84" t="str">
        <f t="shared" si="7"/>
        <v>0</v>
      </c>
      <c r="H84">
        <f t="shared" si="8"/>
        <v>0</v>
      </c>
      <c r="I84">
        <f t="shared" si="9"/>
        <v>0</v>
      </c>
      <c r="J84" t="str">
        <f t="shared" si="10"/>
        <v>0</v>
      </c>
      <c r="N84" s="1">
        <v>85</v>
      </c>
      <c r="O84" s="1">
        <v>0</v>
      </c>
      <c r="P84" s="1">
        <v>2</v>
      </c>
      <c r="Q84" s="1">
        <v>0</v>
      </c>
      <c r="R84" s="1">
        <v>1</v>
      </c>
      <c r="S84" s="1">
        <v>0</v>
      </c>
      <c r="T84" s="1" t="s">
        <v>15</v>
      </c>
      <c r="U84" s="1">
        <v>0</v>
      </c>
      <c r="V84" s="1">
        <v>8355840</v>
      </c>
      <c r="W84" s="1" t="s">
        <v>16</v>
      </c>
    </row>
    <row r="85" spans="1:23" hidden="1">
      <c r="A85">
        <v>76</v>
      </c>
      <c r="B85" s="1">
        <v>1</v>
      </c>
      <c r="C85" s="1">
        <v>0</v>
      </c>
      <c r="D85" s="1">
        <v>0</v>
      </c>
      <c r="E85" s="1">
        <v>1</v>
      </c>
      <c r="F85">
        <f t="shared" si="6"/>
        <v>0</v>
      </c>
      <c r="G85" t="str">
        <f t="shared" si="7"/>
        <v>0</v>
      </c>
      <c r="H85">
        <f t="shared" si="8"/>
        <v>0</v>
      </c>
      <c r="I85">
        <f t="shared" si="9"/>
        <v>0</v>
      </c>
      <c r="J85" t="str">
        <f t="shared" si="10"/>
        <v>0</v>
      </c>
      <c r="N85" s="1">
        <v>86</v>
      </c>
      <c r="O85" s="1">
        <v>1</v>
      </c>
      <c r="P85" s="1">
        <v>2</v>
      </c>
      <c r="Q85" s="1">
        <v>0</v>
      </c>
      <c r="R85" s="1">
        <v>1</v>
      </c>
      <c r="S85" s="1">
        <v>0</v>
      </c>
      <c r="T85" s="1" t="s">
        <v>15</v>
      </c>
      <c r="U85" s="1">
        <v>0</v>
      </c>
      <c r="V85" s="1">
        <v>8355840</v>
      </c>
      <c r="W85" s="1" t="s">
        <v>16</v>
      </c>
    </row>
    <row r="86" spans="1:23" hidden="1">
      <c r="A86">
        <v>77</v>
      </c>
      <c r="B86" s="1">
        <v>2</v>
      </c>
      <c r="C86" s="1">
        <v>0</v>
      </c>
      <c r="D86" s="1">
        <v>0</v>
      </c>
      <c r="E86" s="1">
        <v>1</v>
      </c>
      <c r="F86">
        <f t="shared" si="6"/>
        <v>0</v>
      </c>
      <c r="G86" t="str">
        <f t="shared" si="7"/>
        <v>0</v>
      </c>
      <c r="H86">
        <f t="shared" si="8"/>
        <v>0</v>
      </c>
      <c r="I86">
        <f t="shared" si="9"/>
        <v>0</v>
      </c>
      <c r="J86" t="str">
        <f t="shared" si="10"/>
        <v>0</v>
      </c>
      <c r="N86" s="1">
        <v>87</v>
      </c>
      <c r="O86" s="1">
        <v>2</v>
      </c>
      <c r="P86" s="1">
        <v>2</v>
      </c>
      <c r="Q86" s="1">
        <v>0</v>
      </c>
      <c r="R86" s="1">
        <v>1</v>
      </c>
      <c r="S86" s="1">
        <v>0</v>
      </c>
      <c r="T86" s="1" t="s">
        <v>15</v>
      </c>
      <c r="U86" s="1">
        <v>0</v>
      </c>
      <c r="V86" s="1">
        <v>8355840</v>
      </c>
      <c r="W86" s="1" t="s">
        <v>16</v>
      </c>
    </row>
    <row r="87" spans="1:23" hidden="1">
      <c r="A87">
        <v>78</v>
      </c>
      <c r="B87" s="1">
        <v>3</v>
      </c>
      <c r="C87" s="1">
        <v>0</v>
      </c>
      <c r="D87" s="1">
        <v>0</v>
      </c>
      <c r="E87" s="1">
        <v>1</v>
      </c>
      <c r="F87">
        <f t="shared" si="6"/>
        <v>0</v>
      </c>
      <c r="G87" t="str">
        <f t="shared" si="7"/>
        <v>0</v>
      </c>
      <c r="H87">
        <f t="shared" si="8"/>
        <v>0</v>
      </c>
      <c r="I87">
        <f t="shared" si="9"/>
        <v>0</v>
      </c>
      <c r="J87" t="str">
        <f t="shared" si="10"/>
        <v>0</v>
      </c>
      <c r="N87" s="1">
        <v>88</v>
      </c>
      <c r="O87" s="1">
        <v>3</v>
      </c>
      <c r="P87" s="1">
        <v>2</v>
      </c>
      <c r="Q87" s="1">
        <v>0</v>
      </c>
      <c r="R87" s="1">
        <v>1</v>
      </c>
      <c r="S87" s="1">
        <v>0</v>
      </c>
      <c r="T87" s="1" t="s">
        <v>15</v>
      </c>
      <c r="U87" s="1">
        <v>0</v>
      </c>
      <c r="V87" s="1">
        <v>8355840</v>
      </c>
      <c r="W87" s="1" t="s">
        <v>16</v>
      </c>
    </row>
    <row r="88" spans="1:23" hidden="1">
      <c r="A88">
        <v>79</v>
      </c>
      <c r="B88" s="1">
        <v>4</v>
      </c>
      <c r="C88" s="1">
        <v>0</v>
      </c>
      <c r="D88" s="1">
        <v>0</v>
      </c>
      <c r="E88" s="1">
        <v>1</v>
      </c>
      <c r="F88">
        <f t="shared" si="6"/>
        <v>0</v>
      </c>
      <c r="G88" t="str">
        <f t="shared" si="7"/>
        <v>0</v>
      </c>
      <c r="H88">
        <f t="shared" si="8"/>
        <v>0</v>
      </c>
      <c r="I88">
        <f t="shared" si="9"/>
        <v>0</v>
      </c>
      <c r="J88" t="str">
        <f t="shared" si="10"/>
        <v>0</v>
      </c>
      <c r="N88" s="1">
        <v>89</v>
      </c>
      <c r="O88" s="1">
        <v>4</v>
      </c>
      <c r="P88" s="1">
        <v>2</v>
      </c>
      <c r="Q88" s="1">
        <v>0</v>
      </c>
      <c r="R88" s="1">
        <v>1</v>
      </c>
      <c r="S88" s="1">
        <v>0</v>
      </c>
      <c r="T88" s="1" t="s">
        <v>15</v>
      </c>
      <c r="U88" s="1">
        <v>0</v>
      </c>
      <c r="V88" s="1">
        <v>8355840</v>
      </c>
      <c r="W88" s="1" t="s">
        <v>16</v>
      </c>
    </row>
    <row r="89" spans="1:23" hidden="1">
      <c r="A89">
        <v>80</v>
      </c>
      <c r="B89" s="1">
        <v>0</v>
      </c>
      <c r="C89" s="1">
        <v>1</v>
      </c>
      <c r="D89" s="1">
        <v>0</v>
      </c>
      <c r="E89" s="1">
        <v>1</v>
      </c>
      <c r="F89">
        <f t="shared" si="6"/>
        <v>0</v>
      </c>
      <c r="G89" t="str">
        <f t="shared" si="7"/>
        <v>7F</v>
      </c>
      <c r="H89">
        <f t="shared" si="8"/>
        <v>0</v>
      </c>
      <c r="I89">
        <f t="shared" si="9"/>
        <v>127</v>
      </c>
      <c r="J89" t="str">
        <f t="shared" si="10"/>
        <v>3F</v>
      </c>
      <c r="N89" s="1">
        <v>102</v>
      </c>
      <c r="O89" s="1">
        <v>2</v>
      </c>
      <c r="P89" s="1">
        <v>0</v>
      </c>
      <c r="Q89" s="1">
        <v>1</v>
      </c>
      <c r="R89" s="1">
        <v>1</v>
      </c>
      <c r="S89" s="1" t="s">
        <v>15</v>
      </c>
      <c r="T89" s="1" t="s">
        <v>12</v>
      </c>
      <c r="U89" s="1">
        <v>8355840</v>
      </c>
      <c r="V89" s="1">
        <v>0</v>
      </c>
      <c r="W89" s="1" t="s">
        <v>16</v>
      </c>
    </row>
    <row r="90" spans="1:23" hidden="1">
      <c r="A90">
        <v>81</v>
      </c>
      <c r="B90" s="1">
        <v>1</v>
      </c>
      <c r="C90" s="1">
        <v>1</v>
      </c>
      <c r="D90" s="1">
        <v>0</v>
      </c>
      <c r="E90" s="1">
        <v>1</v>
      </c>
      <c r="F90">
        <f t="shared" si="6"/>
        <v>0</v>
      </c>
      <c r="G90" t="str">
        <f t="shared" si="7"/>
        <v>7F</v>
      </c>
      <c r="H90">
        <f t="shared" si="8"/>
        <v>0</v>
      </c>
      <c r="I90">
        <f t="shared" si="9"/>
        <v>127</v>
      </c>
      <c r="J90" t="str">
        <f t="shared" si="10"/>
        <v>3F</v>
      </c>
      <c r="N90" s="1">
        <v>110</v>
      </c>
      <c r="O90" s="1">
        <v>0</v>
      </c>
      <c r="P90" s="1">
        <v>2</v>
      </c>
      <c r="Q90" s="1">
        <v>1</v>
      </c>
      <c r="R90" s="1">
        <v>1</v>
      </c>
      <c r="S90" s="1" t="s">
        <v>12</v>
      </c>
      <c r="T90" s="1" t="s">
        <v>15</v>
      </c>
      <c r="U90" s="1">
        <v>0</v>
      </c>
      <c r="V90" s="1">
        <v>8355840</v>
      </c>
      <c r="W90" s="1" t="s">
        <v>16</v>
      </c>
    </row>
    <row r="91" spans="1:23" hidden="1">
      <c r="A91">
        <v>82</v>
      </c>
      <c r="B91" s="1">
        <v>2</v>
      </c>
      <c r="C91" s="1">
        <v>1</v>
      </c>
      <c r="D91" s="1">
        <v>0</v>
      </c>
      <c r="E91" s="1">
        <v>1</v>
      </c>
      <c r="F91">
        <f t="shared" si="6"/>
        <v>0</v>
      </c>
      <c r="G91" t="str">
        <f t="shared" si="7"/>
        <v>7F</v>
      </c>
      <c r="H91">
        <f t="shared" si="8"/>
        <v>0</v>
      </c>
      <c r="I91">
        <f t="shared" si="9"/>
        <v>127</v>
      </c>
      <c r="J91" t="str">
        <f t="shared" si="10"/>
        <v>3F</v>
      </c>
      <c r="N91" s="1">
        <v>135</v>
      </c>
      <c r="O91" s="1">
        <v>0</v>
      </c>
      <c r="P91" s="1">
        <v>2</v>
      </c>
      <c r="Q91" s="1">
        <v>2</v>
      </c>
      <c r="R91" s="1">
        <v>1</v>
      </c>
      <c r="S91" s="1" t="s">
        <v>12</v>
      </c>
      <c r="T91" s="1" t="s">
        <v>15</v>
      </c>
      <c r="U91" s="1">
        <v>0</v>
      </c>
      <c r="V91" s="1">
        <v>8355840</v>
      </c>
      <c r="W91" s="1" t="s">
        <v>16</v>
      </c>
    </row>
    <row r="92" spans="1:23" hidden="1">
      <c r="A92">
        <v>83</v>
      </c>
      <c r="B92" s="1">
        <v>3</v>
      </c>
      <c r="C92" s="1">
        <v>1</v>
      </c>
      <c r="D92" s="1">
        <v>0</v>
      </c>
      <c r="E92" s="1">
        <v>1</v>
      </c>
      <c r="F92">
        <f t="shared" si="6"/>
        <v>0</v>
      </c>
      <c r="G92" t="str">
        <f t="shared" si="7"/>
        <v>7F</v>
      </c>
      <c r="H92">
        <f t="shared" si="8"/>
        <v>0</v>
      </c>
      <c r="I92">
        <f t="shared" si="9"/>
        <v>127</v>
      </c>
      <c r="J92" t="str">
        <f t="shared" si="10"/>
        <v>3F</v>
      </c>
      <c r="N92" s="1">
        <v>177</v>
      </c>
      <c r="O92" s="1">
        <v>2</v>
      </c>
      <c r="P92" s="1">
        <v>0</v>
      </c>
      <c r="Q92" s="1">
        <v>1</v>
      </c>
      <c r="R92" s="1">
        <v>2</v>
      </c>
      <c r="S92" s="1" t="s">
        <v>15</v>
      </c>
      <c r="T92" s="1" t="s">
        <v>12</v>
      </c>
      <c r="U92" s="1">
        <v>8355840</v>
      </c>
      <c r="V92" s="1">
        <v>0</v>
      </c>
      <c r="W92" s="1" t="s">
        <v>16</v>
      </c>
    </row>
    <row r="93" spans="1:23" hidden="1">
      <c r="A93">
        <v>84</v>
      </c>
      <c r="B93" s="1">
        <v>4</v>
      </c>
      <c r="C93" s="1">
        <v>1</v>
      </c>
      <c r="D93" s="1">
        <v>0</v>
      </c>
      <c r="E93" s="1">
        <v>1</v>
      </c>
      <c r="F93">
        <f t="shared" si="6"/>
        <v>0</v>
      </c>
      <c r="G93" t="str">
        <f t="shared" si="7"/>
        <v>7F</v>
      </c>
      <c r="H93">
        <f t="shared" si="8"/>
        <v>0</v>
      </c>
      <c r="I93">
        <f t="shared" si="9"/>
        <v>127</v>
      </c>
      <c r="J93" t="str">
        <f t="shared" si="10"/>
        <v>3F</v>
      </c>
      <c r="N93" s="1">
        <v>28</v>
      </c>
      <c r="O93" s="1">
        <v>3</v>
      </c>
      <c r="P93" s="1">
        <v>0</v>
      </c>
      <c r="Q93" s="1">
        <v>1</v>
      </c>
      <c r="R93" s="1">
        <v>0</v>
      </c>
      <c r="S93" s="1" t="s">
        <v>17</v>
      </c>
      <c r="T93" s="1">
        <v>0</v>
      </c>
      <c r="U93" s="1">
        <v>8355967</v>
      </c>
      <c r="V93" s="1">
        <v>0</v>
      </c>
      <c r="W93" s="1" t="s">
        <v>18</v>
      </c>
    </row>
    <row r="94" spans="1:23" hidden="1">
      <c r="A94">
        <v>85</v>
      </c>
      <c r="B94" s="1">
        <v>0</v>
      </c>
      <c r="C94" s="1">
        <v>2</v>
      </c>
      <c r="D94" s="1">
        <v>0</v>
      </c>
      <c r="E94" s="1">
        <v>1</v>
      </c>
      <c r="F94">
        <f t="shared" si="6"/>
        <v>0</v>
      </c>
      <c r="G94" t="str">
        <f t="shared" si="7"/>
        <v>7F8000</v>
      </c>
      <c r="H94">
        <f t="shared" si="8"/>
        <v>0</v>
      </c>
      <c r="I94">
        <f t="shared" si="9"/>
        <v>8355840</v>
      </c>
      <c r="J94" t="str">
        <f t="shared" si="10"/>
        <v>3FC000</v>
      </c>
      <c r="N94" s="1">
        <v>33</v>
      </c>
      <c r="O94" s="1">
        <v>3</v>
      </c>
      <c r="P94" s="1">
        <v>1</v>
      </c>
      <c r="Q94" s="1">
        <v>1</v>
      </c>
      <c r="R94" s="1">
        <v>0</v>
      </c>
      <c r="S94" s="1" t="s">
        <v>17</v>
      </c>
      <c r="T94" s="1">
        <v>0</v>
      </c>
      <c r="U94" s="1">
        <v>8355967</v>
      </c>
      <c r="V94" s="1">
        <v>0</v>
      </c>
      <c r="W94" s="1" t="s">
        <v>18</v>
      </c>
    </row>
    <row r="95" spans="1:23" hidden="1">
      <c r="A95">
        <v>86</v>
      </c>
      <c r="B95" s="1">
        <v>1</v>
      </c>
      <c r="C95" s="1">
        <v>2</v>
      </c>
      <c r="D95" s="1">
        <v>0</v>
      </c>
      <c r="E95" s="1">
        <v>1</v>
      </c>
      <c r="F95">
        <f t="shared" si="6"/>
        <v>0</v>
      </c>
      <c r="G95" t="str">
        <f t="shared" si="7"/>
        <v>7F8000</v>
      </c>
      <c r="H95">
        <f t="shared" si="8"/>
        <v>0</v>
      </c>
      <c r="I95">
        <f t="shared" si="9"/>
        <v>8355840</v>
      </c>
      <c r="J95" t="str">
        <f t="shared" si="10"/>
        <v>3FC000</v>
      </c>
      <c r="N95" s="1">
        <v>38</v>
      </c>
      <c r="O95" s="1">
        <v>3</v>
      </c>
      <c r="P95" s="1">
        <v>2</v>
      </c>
      <c r="Q95" s="1">
        <v>1</v>
      </c>
      <c r="R95" s="1">
        <v>0</v>
      </c>
      <c r="S95" s="1" t="s">
        <v>17</v>
      </c>
      <c r="T95" s="1">
        <v>0</v>
      </c>
      <c r="U95" s="1">
        <v>8355967</v>
      </c>
      <c r="V95" s="1">
        <v>0</v>
      </c>
      <c r="W95" s="1" t="s">
        <v>18</v>
      </c>
    </row>
    <row r="96" spans="1:23" hidden="1">
      <c r="A96">
        <v>87</v>
      </c>
      <c r="B96" s="1">
        <v>2</v>
      </c>
      <c r="C96" s="1">
        <v>2</v>
      </c>
      <c r="D96" s="1">
        <v>0</v>
      </c>
      <c r="E96" s="1">
        <v>1</v>
      </c>
      <c r="F96">
        <f t="shared" si="6"/>
        <v>0</v>
      </c>
      <c r="G96" t="str">
        <f t="shared" si="7"/>
        <v>7F8000</v>
      </c>
      <c r="H96">
        <f t="shared" si="8"/>
        <v>0</v>
      </c>
      <c r="I96">
        <f t="shared" si="9"/>
        <v>8355840</v>
      </c>
      <c r="J96" t="str">
        <f t="shared" si="10"/>
        <v>3FC000</v>
      </c>
      <c r="N96" s="1">
        <v>43</v>
      </c>
      <c r="O96" s="1">
        <v>3</v>
      </c>
      <c r="P96" s="1">
        <v>3</v>
      </c>
      <c r="Q96" s="1">
        <v>1</v>
      </c>
      <c r="R96" s="1">
        <v>0</v>
      </c>
      <c r="S96" s="1" t="s">
        <v>17</v>
      </c>
      <c r="T96" s="1">
        <v>0</v>
      </c>
      <c r="U96" s="1">
        <v>8355967</v>
      </c>
      <c r="V96" s="1">
        <v>0</v>
      </c>
      <c r="W96" s="1" t="s">
        <v>18</v>
      </c>
    </row>
    <row r="97" spans="1:23" hidden="1">
      <c r="A97">
        <v>88</v>
      </c>
      <c r="B97" s="1">
        <v>3</v>
      </c>
      <c r="C97" s="1">
        <v>2</v>
      </c>
      <c r="D97" s="1">
        <v>0</v>
      </c>
      <c r="E97" s="1">
        <v>1</v>
      </c>
      <c r="F97">
        <f t="shared" si="6"/>
        <v>0</v>
      </c>
      <c r="G97" t="str">
        <f t="shared" si="7"/>
        <v>7F8000</v>
      </c>
      <c r="H97">
        <f t="shared" si="8"/>
        <v>0</v>
      </c>
      <c r="I97">
        <f t="shared" si="9"/>
        <v>8355840</v>
      </c>
      <c r="J97" t="str">
        <f t="shared" si="10"/>
        <v>3FC000</v>
      </c>
      <c r="N97" s="1">
        <v>48</v>
      </c>
      <c r="O97" s="1">
        <v>3</v>
      </c>
      <c r="P97" s="1">
        <v>4</v>
      </c>
      <c r="Q97" s="1">
        <v>1</v>
      </c>
      <c r="R97" s="1">
        <v>0</v>
      </c>
      <c r="S97" s="1" t="s">
        <v>17</v>
      </c>
      <c r="T97" s="1">
        <v>0</v>
      </c>
      <c r="U97" s="1">
        <v>8355967</v>
      </c>
      <c r="V97" s="1">
        <v>0</v>
      </c>
      <c r="W97" s="1" t="s">
        <v>18</v>
      </c>
    </row>
    <row r="98" spans="1:23" hidden="1">
      <c r="A98">
        <v>89</v>
      </c>
      <c r="B98" s="1">
        <v>4</v>
      </c>
      <c r="C98" s="1">
        <v>2</v>
      </c>
      <c r="D98" s="1">
        <v>0</v>
      </c>
      <c r="E98" s="1">
        <v>1</v>
      </c>
      <c r="F98">
        <f t="shared" si="6"/>
        <v>0</v>
      </c>
      <c r="G98" t="str">
        <f t="shared" si="7"/>
        <v>7F8000</v>
      </c>
      <c r="H98">
        <f t="shared" si="8"/>
        <v>0</v>
      </c>
      <c r="I98">
        <f t="shared" si="9"/>
        <v>8355840</v>
      </c>
      <c r="J98" t="str">
        <f t="shared" si="10"/>
        <v>3FC000</v>
      </c>
      <c r="N98" s="1">
        <v>90</v>
      </c>
      <c r="O98" s="1">
        <v>0</v>
      </c>
      <c r="P98" s="1">
        <v>3</v>
      </c>
      <c r="Q98" s="1">
        <v>0</v>
      </c>
      <c r="R98" s="1">
        <v>1</v>
      </c>
      <c r="S98" s="1">
        <v>0</v>
      </c>
      <c r="T98" s="1" t="s">
        <v>17</v>
      </c>
      <c r="U98" s="1">
        <v>0</v>
      </c>
      <c r="V98" s="1">
        <v>8355967</v>
      </c>
      <c r="W98" s="1" t="s">
        <v>18</v>
      </c>
    </row>
    <row r="99" spans="1:23" hidden="1">
      <c r="A99">
        <v>90</v>
      </c>
      <c r="B99" s="1">
        <v>0</v>
      </c>
      <c r="C99" s="1">
        <v>3</v>
      </c>
      <c r="D99" s="1">
        <v>0</v>
      </c>
      <c r="E99" s="1">
        <v>1</v>
      </c>
      <c r="F99">
        <f t="shared" si="6"/>
        <v>0</v>
      </c>
      <c r="G99" t="str">
        <f t="shared" si="7"/>
        <v>7F807F</v>
      </c>
      <c r="H99">
        <f t="shared" si="8"/>
        <v>0</v>
      </c>
      <c r="I99">
        <f t="shared" si="9"/>
        <v>8355967</v>
      </c>
      <c r="J99" t="str">
        <f t="shared" si="10"/>
        <v>3FC03F</v>
      </c>
      <c r="N99" s="1">
        <v>91</v>
      </c>
      <c r="O99" s="1">
        <v>1</v>
      </c>
      <c r="P99" s="1">
        <v>3</v>
      </c>
      <c r="Q99" s="1">
        <v>0</v>
      </c>
      <c r="R99" s="1">
        <v>1</v>
      </c>
      <c r="S99" s="1">
        <v>0</v>
      </c>
      <c r="T99" s="1" t="s">
        <v>17</v>
      </c>
      <c r="U99" s="1">
        <v>0</v>
      </c>
      <c r="V99" s="1">
        <v>8355967</v>
      </c>
      <c r="W99" s="1" t="s">
        <v>18</v>
      </c>
    </row>
    <row r="100" spans="1:23" hidden="1">
      <c r="A100">
        <v>91</v>
      </c>
      <c r="B100" s="1">
        <v>1</v>
      </c>
      <c r="C100" s="1">
        <v>3</v>
      </c>
      <c r="D100" s="1">
        <v>0</v>
      </c>
      <c r="E100" s="1">
        <v>1</v>
      </c>
      <c r="F100">
        <f t="shared" si="6"/>
        <v>0</v>
      </c>
      <c r="G100" t="str">
        <f t="shared" si="7"/>
        <v>7F807F</v>
      </c>
      <c r="H100">
        <f t="shared" si="8"/>
        <v>0</v>
      </c>
      <c r="I100">
        <f t="shared" si="9"/>
        <v>8355967</v>
      </c>
      <c r="J100" t="str">
        <f t="shared" si="10"/>
        <v>3FC03F</v>
      </c>
      <c r="N100" s="1">
        <v>92</v>
      </c>
      <c r="O100" s="1">
        <v>2</v>
      </c>
      <c r="P100" s="1">
        <v>3</v>
      </c>
      <c r="Q100" s="1">
        <v>0</v>
      </c>
      <c r="R100" s="1">
        <v>1</v>
      </c>
      <c r="S100" s="1">
        <v>0</v>
      </c>
      <c r="T100" s="1" t="s">
        <v>17</v>
      </c>
      <c r="U100" s="1">
        <v>0</v>
      </c>
      <c r="V100" s="1">
        <v>8355967</v>
      </c>
      <c r="W100" s="1" t="s">
        <v>18</v>
      </c>
    </row>
    <row r="101" spans="1:23" hidden="1">
      <c r="A101">
        <v>92</v>
      </c>
      <c r="B101" s="1">
        <v>2</v>
      </c>
      <c r="C101" s="1">
        <v>3</v>
      </c>
      <c r="D101" s="1">
        <v>0</v>
      </c>
      <c r="E101" s="1">
        <v>1</v>
      </c>
      <c r="F101">
        <f t="shared" si="6"/>
        <v>0</v>
      </c>
      <c r="G101" t="str">
        <f t="shared" si="7"/>
        <v>7F807F</v>
      </c>
      <c r="H101">
        <f t="shared" si="8"/>
        <v>0</v>
      </c>
      <c r="I101">
        <f t="shared" si="9"/>
        <v>8355967</v>
      </c>
      <c r="J101" t="str">
        <f t="shared" si="10"/>
        <v>3FC03F</v>
      </c>
      <c r="N101" s="1">
        <v>93</v>
      </c>
      <c r="O101" s="1">
        <v>3</v>
      </c>
      <c r="P101" s="1">
        <v>3</v>
      </c>
      <c r="Q101" s="1">
        <v>0</v>
      </c>
      <c r="R101" s="1">
        <v>1</v>
      </c>
      <c r="S101" s="1">
        <v>0</v>
      </c>
      <c r="T101" s="1" t="s">
        <v>17</v>
      </c>
      <c r="U101" s="1">
        <v>0</v>
      </c>
      <c r="V101" s="1">
        <v>8355967</v>
      </c>
      <c r="W101" s="1" t="s">
        <v>18</v>
      </c>
    </row>
    <row r="102" spans="1:23" hidden="1">
      <c r="A102">
        <v>93</v>
      </c>
      <c r="B102" s="1">
        <v>3</v>
      </c>
      <c r="C102" s="1">
        <v>3</v>
      </c>
      <c r="D102" s="1">
        <v>0</v>
      </c>
      <c r="E102" s="1">
        <v>1</v>
      </c>
      <c r="F102">
        <f t="shared" si="6"/>
        <v>0</v>
      </c>
      <c r="G102" t="str">
        <f t="shared" si="7"/>
        <v>7F807F</v>
      </c>
      <c r="H102">
        <f t="shared" si="8"/>
        <v>0</v>
      </c>
      <c r="I102">
        <f t="shared" si="9"/>
        <v>8355967</v>
      </c>
      <c r="J102" t="str">
        <f t="shared" si="10"/>
        <v>3FC03F</v>
      </c>
      <c r="N102" s="1">
        <v>94</v>
      </c>
      <c r="O102" s="1">
        <v>4</v>
      </c>
      <c r="P102" s="1">
        <v>3</v>
      </c>
      <c r="Q102" s="1">
        <v>0</v>
      </c>
      <c r="R102" s="1">
        <v>1</v>
      </c>
      <c r="S102" s="1">
        <v>0</v>
      </c>
      <c r="T102" s="1" t="s">
        <v>17</v>
      </c>
      <c r="U102" s="1">
        <v>0</v>
      </c>
      <c r="V102" s="1">
        <v>8355967</v>
      </c>
      <c r="W102" s="1" t="s">
        <v>18</v>
      </c>
    </row>
    <row r="103" spans="1:23" hidden="1">
      <c r="A103">
        <v>94</v>
      </c>
      <c r="B103" s="1">
        <v>4</v>
      </c>
      <c r="C103" s="1">
        <v>3</v>
      </c>
      <c r="D103" s="1">
        <v>0</v>
      </c>
      <c r="E103" s="1">
        <v>1</v>
      </c>
      <c r="F103">
        <f t="shared" si="6"/>
        <v>0</v>
      </c>
      <c r="G103" t="str">
        <f t="shared" si="7"/>
        <v>7F807F</v>
      </c>
      <c r="H103">
        <f t="shared" si="8"/>
        <v>0</v>
      </c>
      <c r="I103">
        <f t="shared" si="9"/>
        <v>8355967</v>
      </c>
      <c r="J103" t="str">
        <f t="shared" si="10"/>
        <v>3FC03F</v>
      </c>
      <c r="N103" s="1">
        <v>103</v>
      </c>
      <c r="O103" s="1">
        <v>3</v>
      </c>
      <c r="P103" s="1">
        <v>0</v>
      </c>
      <c r="Q103" s="1">
        <v>1</v>
      </c>
      <c r="R103" s="1">
        <v>1</v>
      </c>
      <c r="S103" s="1" t="s">
        <v>17</v>
      </c>
      <c r="T103" s="1" t="s">
        <v>12</v>
      </c>
      <c r="U103" s="1">
        <v>8355967</v>
      </c>
      <c r="V103" s="1">
        <v>0</v>
      </c>
      <c r="W103" s="1" t="s">
        <v>18</v>
      </c>
    </row>
    <row r="104" spans="1:23" hidden="1">
      <c r="A104">
        <v>95</v>
      </c>
      <c r="B104" s="1">
        <v>0</v>
      </c>
      <c r="C104" s="1">
        <v>4</v>
      </c>
      <c r="D104" s="1">
        <v>0</v>
      </c>
      <c r="E104" s="1">
        <v>1</v>
      </c>
      <c r="F104">
        <f t="shared" si="6"/>
        <v>0</v>
      </c>
      <c r="G104" t="str">
        <f t="shared" si="7"/>
        <v>7F80</v>
      </c>
      <c r="H104">
        <f t="shared" si="8"/>
        <v>0</v>
      </c>
      <c r="I104">
        <f t="shared" si="9"/>
        <v>32640</v>
      </c>
      <c r="J104" t="str">
        <f t="shared" si="10"/>
        <v>3FC0</v>
      </c>
      <c r="N104" s="1">
        <v>107</v>
      </c>
      <c r="O104" s="1">
        <v>2</v>
      </c>
      <c r="P104" s="1">
        <v>1</v>
      </c>
      <c r="Q104" s="1">
        <v>1</v>
      </c>
      <c r="R104" s="1">
        <v>1</v>
      </c>
      <c r="S104" s="1" t="s">
        <v>15</v>
      </c>
      <c r="T104" s="1" t="s">
        <v>13</v>
      </c>
      <c r="U104" s="1">
        <v>8355840</v>
      </c>
      <c r="V104" s="1">
        <v>127</v>
      </c>
      <c r="W104" s="1" t="s">
        <v>18</v>
      </c>
    </row>
    <row r="105" spans="1:23" hidden="1">
      <c r="A105">
        <v>96</v>
      </c>
      <c r="B105" s="1">
        <v>1</v>
      </c>
      <c r="C105" s="1">
        <v>4</v>
      </c>
      <c r="D105" s="1">
        <v>0</v>
      </c>
      <c r="E105" s="1">
        <v>1</v>
      </c>
      <c r="F105">
        <f t="shared" si="6"/>
        <v>0</v>
      </c>
      <c r="G105" t="str">
        <f t="shared" si="7"/>
        <v>7F80</v>
      </c>
      <c r="H105">
        <f t="shared" si="8"/>
        <v>0</v>
      </c>
      <c r="I105">
        <f t="shared" si="9"/>
        <v>32640</v>
      </c>
      <c r="J105" t="str">
        <f t="shared" si="10"/>
        <v>3FC0</v>
      </c>
      <c r="N105" s="1">
        <v>111</v>
      </c>
      <c r="O105" s="1">
        <v>1</v>
      </c>
      <c r="P105" s="1">
        <v>2</v>
      </c>
      <c r="Q105" s="1">
        <v>1</v>
      </c>
      <c r="R105" s="1">
        <v>1</v>
      </c>
      <c r="S105" s="1" t="s">
        <v>13</v>
      </c>
      <c r="T105" s="1" t="s">
        <v>15</v>
      </c>
      <c r="U105" s="1">
        <v>127</v>
      </c>
      <c r="V105" s="1">
        <v>8355840</v>
      </c>
      <c r="W105" s="1" t="s">
        <v>18</v>
      </c>
    </row>
    <row r="106" spans="1:23" hidden="1">
      <c r="A106">
        <v>97</v>
      </c>
      <c r="B106" s="1">
        <v>2</v>
      </c>
      <c r="C106" s="1">
        <v>4</v>
      </c>
      <c r="D106" s="1">
        <v>0</v>
      </c>
      <c r="E106" s="1">
        <v>1</v>
      </c>
      <c r="F106">
        <f t="shared" si="6"/>
        <v>0</v>
      </c>
      <c r="G106" t="str">
        <f t="shared" si="7"/>
        <v>7F80</v>
      </c>
      <c r="H106">
        <f t="shared" si="8"/>
        <v>0</v>
      </c>
      <c r="I106">
        <f t="shared" si="9"/>
        <v>32640</v>
      </c>
      <c r="J106" t="str">
        <f t="shared" si="10"/>
        <v>3FC0</v>
      </c>
      <c r="N106" s="1">
        <v>115</v>
      </c>
      <c r="O106" s="1">
        <v>0</v>
      </c>
      <c r="P106" s="1">
        <v>3</v>
      </c>
      <c r="Q106" s="1">
        <v>1</v>
      </c>
      <c r="R106" s="1">
        <v>1</v>
      </c>
      <c r="S106" s="1" t="s">
        <v>12</v>
      </c>
      <c r="T106" s="1" t="s">
        <v>17</v>
      </c>
      <c r="U106" s="1">
        <v>0</v>
      </c>
      <c r="V106" s="1">
        <v>8355967</v>
      </c>
      <c r="W106" s="1" t="s">
        <v>18</v>
      </c>
    </row>
    <row r="107" spans="1:23" hidden="1">
      <c r="A107">
        <v>98</v>
      </c>
      <c r="B107" s="1">
        <v>3</v>
      </c>
      <c r="C107" s="1">
        <v>4</v>
      </c>
      <c r="D107" s="1">
        <v>0</v>
      </c>
      <c r="E107" s="1">
        <v>1</v>
      </c>
      <c r="F107">
        <f t="shared" si="6"/>
        <v>0</v>
      </c>
      <c r="G107" t="str">
        <f t="shared" si="7"/>
        <v>7F80</v>
      </c>
      <c r="H107">
        <f t="shared" si="8"/>
        <v>0</v>
      </c>
      <c r="I107">
        <f t="shared" si="9"/>
        <v>32640</v>
      </c>
      <c r="J107" t="str">
        <f t="shared" si="10"/>
        <v>3FC0</v>
      </c>
      <c r="N107" s="1">
        <v>140</v>
      </c>
      <c r="O107" s="1">
        <v>0</v>
      </c>
      <c r="P107" s="1">
        <v>3</v>
      </c>
      <c r="Q107" s="1">
        <v>2</v>
      </c>
      <c r="R107" s="1">
        <v>1</v>
      </c>
      <c r="S107" s="1" t="s">
        <v>12</v>
      </c>
      <c r="T107" s="1" t="s">
        <v>17</v>
      </c>
      <c r="U107" s="1">
        <v>0</v>
      </c>
      <c r="V107" s="1">
        <v>8355967</v>
      </c>
      <c r="W107" s="1" t="s">
        <v>18</v>
      </c>
    </row>
    <row r="108" spans="1:23" hidden="1">
      <c r="A108">
        <v>99</v>
      </c>
      <c r="B108" s="1">
        <v>4</v>
      </c>
      <c r="C108" s="1">
        <v>4</v>
      </c>
      <c r="D108" s="1">
        <v>0</v>
      </c>
      <c r="E108" s="1">
        <v>1</v>
      </c>
      <c r="F108">
        <f t="shared" si="6"/>
        <v>0</v>
      </c>
      <c r="G108" t="str">
        <f t="shared" si="7"/>
        <v>7F80</v>
      </c>
      <c r="H108">
        <f t="shared" si="8"/>
        <v>0</v>
      </c>
      <c r="I108">
        <f t="shared" si="9"/>
        <v>32640</v>
      </c>
      <c r="J108" t="str">
        <f t="shared" si="10"/>
        <v>3FC0</v>
      </c>
      <c r="N108" s="1">
        <v>178</v>
      </c>
      <c r="O108" s="1">
        <v>3</v>
      </c>
      <c r="P108" s="1">
        <v>0</v>
      </c>
      <c r="Q108" s="1">
        <v>1</v>
      </c>
      <c r="R108" s="1">
        <v>2</v>
      </c>
      <c r="S108" s="1" t="s">
        <v>17</v>
      </c>
      <c r="T108" s="1" t="s">
        <v>12</v>
      </c>
      <c r="U108" s="1">
        <v>8355967</v>
      </c>
      <c r="V108" s="1">
        <v>0</v>
      </c>
      <c r="W108" s="1" t="s">
        <v>18</v>
      </c>
    </row>
    <row r="109" spans="1:23" hidden="1">
      <c r="A109">
        <v>100</v>
      </c>
      <c r="B109" s="1">
        <v>0</v>
      </c>
      <c r="C109" s="1">
        <v>0</v>
      </c>
      <c r="D109" s="1">
        <v>1</v>
      </c>
      <c r="E109" s="1">
        <v>1</v>
      </c>
      <c r="F109" t="str">
        <f t="shared" si="6"/>
        <v>0</v>
      </c>
      <c r="G109" t="str">
        <f t="shared" si="7"/>
        <v>0</v>
      </c>
      <c r="H109">
        <f t="shared" si="8"/>
        <v>0</v>
      </c>
      <c r="I109">
        <f t="shared" si="9"/>
        <v>0</v>
      </c>
      <c r="J109" t="str">
        <f t="shared" si="10"/>
        <v>0</v>
      </c>
      <c r="N109" s="1">
        <v>108</v>
      </c>
      <c r="O109" s="1">
        <v>3</v>
      </c>
      <c r="P109" s="1">
        <v>1</v>
      </c>
      <c r="Q109" s="1">
        <v>1</v>
      </c>
      <c r="R109" s="1">
        <v>1</v>
      </c>
      <c r="S109" s="1" t="s">
        <v>17</v>
      </c>
      <c r="T109" s="1" t="s">
        <v>13</v>
      </c>
      <c r="U109" s="1">
        <v>8355967</v>
      </c>
      <c r="V109" s="1">
        <v>127</v>
      </c>
      <c r="W109" s="1" t="s">
        <v>25</v>
      </c>
    </row>
    <row r="110" spans="1:23" hidden="1">
      <c r="A110">
        <v>101</v>
      </c>
      <c r="B110" s="1">
        <v>1</v>
      </c>
      <c r="C110" s="1">
        <v>0</v>
      </c>
      <c r="D110" s="1">
        <v>1</v>
      </c>
      <c r="E110" s="1">
        <v>1</v>
      </c>
      <c r="F110" t="str">
        <f t="shared" si="6"/>
        <v>7F</v>
      </c>
      <c r="G110" t="str">
        <f t="shared" si="7"/>
        <v>0</v>
      </c>
      <c r="H110">
        <f t="shared" si="8"/>
        <v>127</v>
      </c>
      <c r="I110">
        <f t="shared" si="9"/>
        <v>0</v>
      </c>
      <c r="J110" t="str">
        <f t="shared" si="10"/>
        <v>3F</v>
      </c>
      <c r="N110" s="1">
        <v>116</v>
      </c>
      <c r="O110" s="1">
        <v>1</v>
      </c>
      <c r="P110" s="1">
        <v>3</v>
      </c>
      <c r="Q110" s="1">
        <v>1</v>
      </c>
      <c r="R110" s="1">
        <v>1</v>
      </c>
      <c r="S110" s="1" t="s">
        <v>13</v>
      </c>
      <c r="T110" s="1" t="s">
        <v>17</v>
      </c>
      <c r="U110" s="1">
        <v>127</v>
      </c>
      <c r="V110" s="1">
        <v>8355967</v>
      </c>
      <c r="W110" s="1" t="s">
        <v>25</v>
      </c>
    </row>
    <row r="111" spans="1:23" hidden="1">
      <c r="A111">
        <v>102</v>
      </c>
      <c r="B111" s="1">
        <v>2</v>
      </c>
      <c r="C111" s="1">
        <v>0</v>
      </c>
      <c r="D111" s="1">
        <v>1</v>
      </c>
      <c r="E111" s="1">
        <v>1</v>
      </c>
      <c r="F111" t="str">
        <f t="shared" si="6"/>
        <v>7F8000</v>
      </c>
      <c r="G111" t="str">
        <f t="shared" si="7"/>
        <v>0</v>
      </c>
      <c r="H111">
        <f t="shared" si="8"/>
        <v>8355840</v>
      </c>
      <c r="I111">
        <f t="shared" si="9"/>
        <v>0</v>
      </c>
      <c r="J111" t="str">
        <f t="shared" si="10"/>
        <v>3FC000</v>
      </c>
      <c r="N111" s="1">
        <v>136</v>
      </c>
      <c r="O111" s="1">
        <v>1</v>
      </c>
      <c r="P111" s="1">
        <v>2</v>
      </c>
      <c r="Q111" s="1">
        <v>2</v>
      </c>
      <c r="R111" s="1">
        <v>1</v>
      </c>
      <c r="S111" s="1" t="s">
        <v>21</v>
      </c>
      <c r="T111" s="1" t="s">
        <v>15</v>
      </c>
      <c r="U111" s="1">
        <v>255</v>
      </c>
      <c r="V111" s="1">
        <v>8355840</v>
      </c>
      <c r="W111" s="1" t="s">
        <v>25</v>
      </c>
    </row>
    <row r="112" spans="1:23" hidden="1">
      <c r="A112">
        <v>103</v>
      </c>
      <c r="B112" s="1">
        <v>3</v>
      </c>
      <c r="C112" s="1">
        <v>0</v>
      </c>
      <c r="D112" s="1">
        <v>1</v>
      </c>
      <c r="E112" s="1">
        <v>1</v>
      </c>
      <c r="F112" t="str">
        <f t="shared" si="6"/>
        <v>7F807F</v>
      </c>
      <c r="G112" t="str">
        <f t="shared" si="7"/>
        <v>0</v>
      </c>
      <c r="H112">
        <f t="shared" si="8"/>
        <v>8355967</v>
      </c>
      <c r="I112">
        <f t="shared" si="9"/>
        <v>0</v>
      </c>
      <c r="J112" t="str">
        <f t="shared" si="10"/>
        <v>3FC03F</v>
      </c>
      <c r="N112" s="1">
        <v>182</v>
      </c>
      <c r="O112" s="1">
        <v>2</v>
      </c>
      <c r="P112" s="1">
        <v>1</v>
      </c>
      <c r="Q112" s="1">
        <v>1</v>
      </c>
      <c r="R112" s="1">
        <v>2</v>
      </c>
      <c r="S112" s="1" t="s">
        <v>15</v>
      </c>
      <c r="T112" s="1" t="s">
        <v>21</v>
      </c>
      <c r="U112" s="1">
        <v>8355840</v>
      </c>
      <c r="V112" s="1">
        <v>255</v>
      </c>
      <c r="W112" s="1" t="s">
        <v>25</v>
      </c>
    </row>
    <row r="113" spans="1:23" hidden="1">
      <c r="A113">
        <v>104</v>
      </c>
      <c r="B113" s="1">
        <v>4</v>
      </c>
      <c r="C113" s="1">
        <v>0</v>
      </c>
      <c r="D113" s="1">
        <v>1</v>
      </c>
      <c r="E113" s="1">
        <v>1</v>
      </c>
      <c r="F113" t="str">
        <f t="shared" si="6"/>
        <v>7F80</v>
      </c>
      <c r="G113" t="str">
        <f t="shared" si="7"/>
        <v>0</v>
      </c>
      <c r="H113">
        <f t="shared" si="8"/>
        <v>32640</v>
      </c>
      <c r="I113">
        <f t="shared" si="9"/>
        <v>0</v>
      </c>
      <c r="J113" t="str">
        <f t="shared" si="10"/>
        <v>3FC0</v>
      </c>
      <c r="N113" s="1">
        <v>141</v>
      </c>
      <c r="O113" s="1">
        <v>1</v>
      </c>
      <c r="P113" s="1">
        <v>3</v>
      </c>
      <c r="Q113" s="1">
        <v>2</v>
      </c>
      <c r="R113" s="1">
        <v>1</v>
      </c>
      <c r="S113" s="1" t="s">
        <v>21</v>
      </c>
      <c r="T113" s="1" t="s">
        <v>17</v>
      </c>
      <c r="U113" s="1">
        <v>255</v>
      </c>
      <c r="V113" s="1">
        <v>8355967</v>
      </c>
      <c r="W113" s="1" t="s">
        <v>36</v>
      </c>
    </row>
    <row r="114" spans="1:23" hidden="1">
      <c r="A114">
        <v>105</v>
      </c>
      <c r="B114" s="1">
        <v>0</v>
      </c>
      <c r="C114" s="1">
        <v>1</v>
      </c>
      <c r="D114" s="1">
        <v>1</v>
      </c>
      <c r="E114" s="1">
        <v>1</v>
      </c>
      <c r="F114" t="str">
        <f t="shared" si="6"/>
        <v>0</v>
      </c>
      <c r="G114" t="str">
        <f t="shared" si="7"/>
        <v>7F</v>
      </c>
      <c r="H114">
        <f t="shared" si="8"/>
        <v>0</v>
      </c>
      <c r="I114">
        <f t="shared" si="9"/>
        <v>127</v>
      </c>
      <c r="J114" t="str">
        <f t="shared" si="10"/>
        <v>3F</v>
      </c>
      <c r="N114" s="1">
        <v>183</v>
      </c>
      <c r="O114" s="1">
        <v>3</v>
      </c>
      <c r="P114" s="1">
        <v>1</v>
      </c>
      <c r="Q114" s="1">
        <v>1</v>
      </c>
      <c r="R114" s="1">
        <v>2</v>
      </c>
      <c r="S114" s="1" t="s">
        <v>17</v>
      </c>
      <c r="T114" s="1" t="s">
        <v>21</v>
      </c>
      <c r="U114" s="1">
        <v>8355967</v>
      </c>
      <c r="V114" s="1">
        <v>255</v>
      </c>
      <c r="W114" s="1" t="s">
        <v>36</v>
      </c>
    </row>
    <row r="115" spans="1:23">
      <c r="A115">
        <v>106</v>
      </c>
      <c r="B115" s="1">
        <v>1</v>
      </c>
      <c r="C115" s="1">
        <v>1</v>
      </c>
      <c r="D115" s="1">
        <v>1</v>
      </c>
      <c r="E115" s="1">
        <v>1</v>
      </c>
      <c r="F115" t="str">
        <f t="shared" si="6"/>
        <v>7F</v>
      </c>
      <c r="G115" t="str">
        <f t="shared" si="7"/>
        <v>7F</v>
      </c>
      <c r="H115">
        <f t="shared" si="8"/>
        <v>127</v>
      </c>
      <c r="I115">
        <f t="shared" si="9"/>
        <v>127</v>
      </c>
      <c r="J115" t="str">
        <f t="shared" si="10"/>
        <v>7F</v>
      </c>
      <c r="N115" s="1">
        <v>109</v>
      </c>
      <c r="O115" s="1">
        <v>4</v>
      </c>
      <c r="P115" s="1">
        <v>1</v>
      </c>
      <c r="Q115" s="1">
        <v>1</v>
      </c>
      <c r="R115" s="1">
        <v>1</v>
      </c>
      <c r="S115" s="1" t="s">
        <v>19</v>
      </c>
      <c r="T115" s="1" t="s">
        <v>13</v>
      </c>
      <c r="U115" s="1">
        <v>32640</v>
      </c>
      <c r="V115" s="1">
        <v>127</v>
      </c>
      <c r="W115" s="1" t="s">
        <v>26</v>
      </c>
    </row>
    <row r="116" spans="1:23" hidden="1">
      <c r="A116">
        <v>107</v>
      </c>
      <c r="B116" s="1">
        <v>2</v>
      </c>
      <c r="C116" s="1">
        <v>1</v>
      </c>
      <c r="D116" s="1">
        <v>1</v>
      </c>
      <c r="E116" s="1">
        <v>1</v>
      </c>
      <c r="F116" t="str">
        <f t="shared" si="6"/>
        <v>7F8000</v>
      </c>
      <c r="G116" t="str">
        <f t="shared" si="7"/>
        <v>7F</v>
      </c>
      <c r="H116">
        <f t="shared" si="8"/>
        <v>8355840</v>
      </c>
      <c r="I116">
        <f t="shared" si="9"/>
        <v>127</v>
      </c>
      <c r="J116" t="str">
        <f t="shared" si="10"/>
        <v>3FC03F</v>
      </c>
      <c r="N116" s="1">
        <v>121</v>
      </c>
      <c r="O116" s="1">
        <v>1</v>
      </c>
      <c r="P116" s="1">
        <v>4</v>
      </c>
      <c r="Q116" s="1">
        <v>1</v>
      </c>
      <c r="R116" s="1">
        <v>1</v>
      </c>
      <c r="S116" s="1" t="s">
        <v>13</v>
      </c>
      <c r="T116" s="1" t="s">
        <v>19</v>
      </c>
      <c r="U116" s="1">
        <v>127</v>
      </c>
      <c r="V116" s="1">
        <v>32640</v>
      </c>
      <c r="W116" s="1" t="s">
        <v>26</v>
      </c>
    </row>
    <row r="117" spans="1:23" hidden="1">
      <c r="A117">
        <v>108</v>
      </c>
      <c r="B117" s="1">
        <v>3</v>
      </c>
      <c r="C117" s="1">
        <v>1</v>
      </c>
      <c r="D117" s="1">
        <v>1</v>
      </c>
      <c r="E117" s="1">
        <v>1</v>
      </c>
      <c r="F117" t="str">
        <f t="shared" si="6"/>
        <v>7F807F</v>
      </c>
      <c r="G117" t="str">
        <f t="shared" si="7"/>
        <v>7F</v>
      </c>
      <c r="H117">
        <f t="shared" si="8"/>
        <v>8355967</v>
      </c>
      <c r="I117">
        <f t="shared" si="9"/>
        <v>127</v>
      </c>
      <c r="J117" t="str">
        <f t="shared" si="10"/>
        <v>3FC07F</v>
      </c>
      <c r="N117" s="1">
        <v>114</v>
      </c>
      <c r="O117" s="1">
        <v>4</v>
      </c>
      <c r="P117" s="1">
        <v>2</v>
      </c>
      <c r="Q117" s="1">
        <v>1</v>
      </c>
      <c r="R117" s="1">
        <v>1</v>
      </c>
      <c r="S117" s="1" t="s">
        <v>19</v>
      </c>
      <c r="T117" s="1" t="s">
        <v>15</v>
      </c>
      <c r="U117" s="1">
        <v>32640</v>
      </c>
      <c r="V117" s="1">
        <v>8355840</v>
      </c>
      <c r="W117" s="1" t="s">
        <v>28</v>
      </c>
    </row>
    <row r="118" spans="1:23" hidden="1">
      <c r="A118">
        <v>109</v>
      </c>
      <c r="B118" s="1">
        <v>4</v>
      </c>
      <c r="C118" s="1">
        <v>1</v>
      </c>
      <c r="D118" s="1">
        <v>1</v>
      </c>
      <c r="E118" s="1">
        <v>1</v>
      </c>
      <c r="F118" t="str">
        <f t="shared" si="6"/>
        <v>7F80</v>
      </c>
      <c r="G118" t="str">
        <f t="shared" si="7"/>
        <v>7F</v>
      </c>
      <c r="H118">
        <f t="shared" si="8"/>
        <v>32640</v>
      </c>
      <c r="I118">
        <f t="shared" si="9"/>
        <v>127</v>
      </c>
      <c r="J118" t="str">
        <f t="shared" si="10"/>
        <v>3FFF</v>
      </c>
      <c r="N118" s="1">
        <v>122</v>
      </c>
      <c r="O118" s="1">
        <v>2</v>
      </c>
      <c r="P118" s="1">
        <v>4</v>
      </c>
      <c r="Q118" s="1">
        <v>1</v>
      </c>
      <c r="R118" s="1">
        <v>1</v>
      </c>
      <c r="S118" s="1" t="s">
        <v>15</v>
      </c>
      <c r="T118" s="1" t="s">
        <v>19</v>
      </c>
      <c r="U118" s="1">
        <v>8355840</v>
      </c>
      <c r="V118" s="1">
        <v>32640</v>
      </c>
      <c r="W118" s="1" t="s">
        <v>28</v>
      </c>
    </row>
    <row r="119" spans="1:23" hidden="1">
      <c r="A119">
        <v>110</v>
      </c>
      <c r="B119" s="1">
        <v>0</v>
      </c>
      <c r="C119" s="1">
        <v>2</v>
      </c>
      <c r="D119" s="1">
        <v>1</v>
      </c>
      <c r="E119" s="1">
        <v>1</v>
      </c>
      <c r="F119" t="str">
        <f t="shared" si="6"/>
        <v>0</v>
      </c>
      <c r="G119" t="str">
        <f t="shared" si="7"/>
        <v>7F8000</v>
      </c>
      <c r="H119">
        <f t="shared" si="8"/>
        <v>0</v>
      </c>
      <c r="I119">
        <f t="shared" si="9"/>
        <v>8355840</v>
      </c>
      <c r="J119" t="str">
        <f t="shared" si="10"/>
        <v>3FC000</v>
      </c>
      <c r="N119" s="1">
        <v>119</v>
      </c>
      <c r="O119" s="1">
        <v>4</v>
      </c>
      <c r="P119" s="1">
        <v>3</v>
      </c>
      <c r="Q119" s="1">
        <v>1</v>
      </c>
      <c r="R119" s="1">
        <v>1</v>
      </c>
      <c r="S119" s="1" t="s">
        <v>19</v>
      </c>
      <c r="T119" s="1" t="s">
        <v>17</v>
      </c>
      <c r="U119" s="1">
        <v>32640</v>
      </c>
      <c r="V119" s="1">
        <v>8355967</v>
      </c>
      <c r="W119" s="1" t="s">
        <v>29</v>
      </c>
    </row>
    <row r="120" spans="1:23" hidden="1">
      <c r="A120">
        <v>111</v>
      </c>
      <c r="B120" s="1">
        <v>1</v>
      </c>
      <c r="C120" s="1">
        <v>2</v>
      </c>
      <c r="D120" s="1">
        <v>1</v>
      </c>
      <c r="E120" s="1">
        <v>1</v>
      </c>
      <c r="F120" t="str">
        <f t="shared" si="6"/>
        <v>7F</v>
      </c>
      <c r="G120" t="str">
        <f t="shared" si="7"/>
        <v>7F8000</v>
      </c>
      <c r="H120">
        <f t="shared" si="8"/>
        <v>127</v>
      </c>
      <c r="I120">
        <f t="shared" si="9"/>
        <v>8355840</v>
      </c>
      <c r="J120" t="str">
        <f t="shared" si="10"/>
        <v>3FC03F</v>
      </c>
      <c r="N120" s="1">
        <v>123</v>
      </c>
      <c r="O120" s="1">
        <v>3</v>
      </c>
      <c r="P120" s="1">
        <v>4</v>
      </c>
      <c r="Q120" s="1">
        <v>1</v>
      </c>
      <c r="R120" s="1">
        <v>1</v>
      </c>
      <c r="S120" s="1" t="s">
        <v>17</v>
      </c>
      <c r="T120" s="1" t="s">
        <v>19</v>
      </c>
      <c r="U120" s="1">
        <v>8355967</v>
      </c>
      <c r="V120" s="1">
        <v>32640</v>
      </c>
      <c r="W120" s="1" t="s">
        <v>29</v>
      </c>
    </row>
    <row r="121" spans="1:23" hidden="1">
      <c r="A121">
        <v>112</v>
      </c>
      <c r="B121" s="1">
        <v>2</v>
      </c>
      <c r="C121" s="1">
        <v>2</v>
      </c>
      <c r="D121" s="1">
        <v>1</v>
      </c>
      <c r="E121" s="1">
        <v>1</v>
      </c>
      <c r="F121" t="str">
        <f t="shared" si="6"/>
        <v>7F8000</v>
      </c>
      <c r="G121" t="str">
        <f t="shared" si="7"/>
        <v>7F8000</v>
      </c>
      <c r="H121">
        <f t="shared" si="8"/>
        <v>8355840</v>
      </c>
      <c r="I121">
        <f t="shared" si="9"/>
        <v>8355840</v>
      </c>
      <c r="J121" t="str">
        <f t="shared" si="10"/>
        <v>7F8000</v>
      </c>
      <c r="N121" s="1">
        <v>146</v>
      </c>
      <c r="O121" s="1">
        <v>1</v>
      </c>
      <c r="P121" s="1">
        <v>4</v>
      </c>
      <c r="Q121" s="1">
        <v>2</v>
      </c>
      <c r="R121" s="1">
        <v>1</v>
      </c>
      <c r="S121" s="1" t="s">
        <v>21</v>
      </c>
      <c r="T121" s="1" t="s">
        <v>19</v>
      </c>
      <c r="U121" s="1">
        <v>255</v>
      </c>
      <c r="V121" s="1">
        <v>32640</v>
      </c>
      <c r="W121" s="1" t="s">
        <v>40</v>
      </c>
    </row>
    <row r="122" spans="1:23">
      <c r="A122">
        <v>113</v>
      </c>
      <c r="B122" s="1">
        <v>3</v>
      </c>
      <c r="C122" s="1">
        <v>2</v>
      </c>
      <c r="D122" s="1">
        <v>1</v>
      </c>
      <c r="E122" s="1">
        <v>1</v>
      </c>
      <c r="F122" t="str">
        <f t="shared" si="6"/>
        <v>7F807F</v>
      </c>
      <c r="G122" t="str">
        <f t="shared" si="7"/>
        <v>7F8000</v>
      </c>
      <c r="H122">
        <f t="shared" si="8"/>
        <v>8355967</v>
      </c>
      <c r="I122">
        <f t="shared" si="9"/>
        <v>8355840</v>
      </c>
      <c r="J122" t="str">
        <f t="shared" si="10"/>
        <v>7F803F</v>
      </c>
      <c r="N122" s="1">
        <v>184</v>
      </c>
      <c r="O122" s="1">
        <v>4</v>
      </c>
      <c r="P122" s="1">
        <v>1</v>
      </c>
      <c r="Q122" s="1">
        <v>1</v>
      </c>
      <c r="R122" s="1">
        <v>2</v>
      </c>
      <c r="S122" s="1" t="s">
        <v>19</v>
      </c>
      <c r="T122" s="1" t="s">
        <v>21</v>
      </c>
      <c r="U122" s="1">
        <v>32640</v>
      </c>
      <c r="V122" s="1">
        <v>255</v>
      </c>
      <c r="W122" s="1" t="s">
        <v>40</v>
      </c>
    </row>
    <row r="123" spans="1:23" hidden="1">
      <c r="A123">
        <v>114</v>
      </c>
      <c r="B123" s="1">
        <v>4</v>
      </c>
      <c r="C123" s="1">
        <v>2</v>
      </c>
      <c r="D123" s="1">
        <v>1</v>
      </c>
      <c r="E123" s="1">
        <v>1</v>
      </c>
      <c r="F123" t="str">
        <f t="shared" si="6"/>
        <v>7F80</v>
      </c>
      <c r="G123" t="str">
        <f t="shared" si="7"/>
        <v>7F8000</v>
      </c>
      <c r="H123">
        <f t="shared" si="8"/>
        <v>32640</v>
      </c>
      <c r="I123">
        <f t="shared" si="9"/>
        <v>8355840</v>
      </c>
      <c r="J123" t="str">
        <f t="shared" si="10"/>
        <v>3FFFC0</v>
      </c>
      <c r="N123" s="1">
        <v>139</v>
      </c>
      <c r="O123" s="1">
        <v>4</v>
      </c>
      <c r="P123" s="1">
        <v>2</v>
      </c>
      <c r="Q123" s="1">
        <v>2</v>
      </c>
      <c r="R123" s="1">
        <v>1</v>
      </c>
      <c r="S123" s="1" t="s">
        <v>24</v>
      </c>
      <c r="T123" s="1" t="s">
        <v>15</v>
      </c>
      <c r="U123" s="1">
        <v>65280</v>
      </c>
      <c r="V123" s="1">
        <v>8355840</v>
      </c>
      <c r="W123" s="1" t="s">
        <v>35</v>
      </c>
    </row>
    <row r="124" spans="1:23" hidden="1">
      <c r="A124">
        <v>115</v>
      </c>
      <c r="B124" s="1">
        <v>0</v>
      </c>
      <c r="C124" s="1">
        <v>3</v>
      </c>
      <c r="D124" s="1">
        <v>1</v>
      </c>
      <c r="E124" s="1">
        <v>1</v>
      </c>
      <c r="F124" t="str">
        <f t="shared" si="6"/>
        <v>0</v>
      </c>
      <c r="G124" t="str">
        <f t="shared" si="7"/>
        <v>7F807F</v>
      </c>
      <c r="H124">
        <f t="shared" si="8"/>
        <v>0</v>
      </c>
      <c r="I124">
        <f t="shared" si="9"/>
        <v>8355967</v>
      </c>
      <c r="J124" t="str">
        <f t="shared" si="10"/>
        <v>3FC03F</v>
      </c>
      <c r="N124" s="1">
        <v>197</v>
      </c>
      <c r="O124" s="1">
        <v>2</v>
      </c>
      <c r="P124" s="1">
        <v>4</v>
      </c>
      <c r="Q124" s="1">
        <v>1</v>
      </c>
      <c r="R124" s="1">
        <v>2</v>
      </c>
      <c r="S124" s="1" t="s">
        <v>15</v>
      </c>
      <c r="T124" s="1" t="s">
        <v>24</v>
      </c>
      <c r="U124" s="1">
        <v>8355840</v>
      </c>
      <c r="V124" s="1">
        <v>65280</v>
      </c>
      <c r="W124" s="1" t="s">
        <v>35</v>
      </c>
    </row>
    <row r="125" spans="1:23" hidden="1">
      <c r="A125">
        <v>116</v>
      </c>
      <c r="B125" s="1">
        <v>1</v>
      </c>
      <c r="C125" s="1">
        <v>3</v>
      </c>
      <c r="D125" s="1">
        <v>1</v>
      </c>
      <c r="E125" s="1">
        <v>1</v>
      </c>
      <c r="F125" t="str">
        <f t="shared" si="6"/>
        <v>7F</v>
      </c>
      <c r="G125" t="str">
        <f t="shared" si="7"/>
        <v>7F807F</v>
      </c>
      <c r="H125">
        <f t="shared" si="8"/>
        <v>127</v>
      </c>
      <c r="I125">
        <f t="shared" si="9"/>
        <v>8355967</v>
      </c>
      <c r="J125" t="str">
        <f t="shared" si="10"/>
        <v>3FC07F</v>
      </c>
      <c r="N125" s="1">
        <v>144</v>
      </c>
      <c r="O125" s="1">
        <v>4</v>
      </c>
      <c r="P125" s="1">
        <v>3</v>
      </c>
      <c r="Q125" s="1">
        <v>2</v>
      </c>
      <c r="R125" s="1">
        <v>1</v>
      </c>
      <c r="S125" s="1" t="s">
        <v>24</v>
      </c>
      <c r="T125" s="1" t="s">
        <v>17</v>
      </c>
      <c r="U125" s="1">
        <v>65280</v>
      </c>
      <c r="V125" s="1">
        <v>8355967</v>
      </c>
      <c r="W125" s="1" t="s">
        <v>39</v>
      </c>
    </row>
    <row r="126" spans="1:23" hidden="1">
      <c r="A126">
        <v>117</v>
      </c>
      <c r="B126" s="1">
        <v>2</v>
      </c>
      <c r="C126" s="1">
        <v>3</v>
      </c>
      <c r="D126" s="1">
        <v>1</v>
      </c>
      <c r="E126" s="1">
        <v>1</v>
      </c>
      <c r="F126" t="str">
        <f t="shared" si="6"/>
        <v>7F8000</v>
      </c>
      <c r="G126" t="str">
        <f t="shared" si="7"/>
        <v>7F807F</v>
      </c>
      <c r="H126">
        <f t="shared" si="8"/>
        <v>8355840</v>
      </c>
      <c r="I126">
        <f t="shared" si="9"/>
        <v>8355967</v>
      </c>
      <c r="J126" t="str">
        <f t="shared" si="10"/>
        <v>7F803F</v>
      </c>
      <c r="N126" s="1">
        <v>198</v>
      </c>
      <c r="O126" s="1">
        <v>3</v>
      </c>
      <c r="P126" s="1">
        <v>4</v>
      </c>
      <c r="Q126" s="1">
        <v>1</v>
      </c>
      <c r="R126" s="1">
        <v>2</v>
      </c>
      <c r="S126" s="1" t="s">
        <v>17</v>
      </c>
      <c r="T126" s="1" t="s">
        <v>24</v>
      </c>
      <c r="U126" s="1">
        <v>8355967</v>
      </c>
      <c r="V126" s="1">
        <v>65280</v>
      </c>
      <c r="W126" s="1" t="s">
        <v>39</v>
      </c>
    </row>
    <row r="127" spans="1:23" hidden="1">
      <c r="A127">
        <v>118</v>
      </c>
      <c r="B127" s="1">
        <v>3</v>
      </c>
      <c r="C127" s="1">
        <v>3</v>
      </c>
      <c r="D127" s="1">
        <v>1</v>
      </c>
      <c r="E127" s="1">
        <v>1</v>
      </c>
      <c r="F127" t="str">
        <f t="shared" si="6"/>
        <v>7F807F</v>
      </c>
      <c r="G127" t="str">
        <f t="shared" si="7"/>
        <v>7F807F</v>
      </c>
      <c r="H127">
        <f t="shared" si="8"/>
        <v>8355967</v>
      </c>
      <c r="I127">
        <f t="shared" si="9"/>
        <v>8355967</v>
      </c>
      <c r="J127" t="str">
        <f t="shared" si="10"/>
        <v>7F807F</v>
      </c>
      <c r="N127" s="1">
        <v>51</v>
      </c>
      <c r="O127" s="1">
        <v>1</v>
      </c>
      <c r="P127" s="1">
        <v>0</v>
      </c>
      <c r="Q127" s="1">
        <v>2</v>
      </c>
      <c r="R127" s="1">
        <v>0</v>
      </c>
      <c r="S127" s="1" t="s">
        <v>21</v>
      </c>
      <c r="T127" s="1">
        <v>0</v>
      </c>
      <c r="U127" s="1">
        <v>255</v>
      </c>
      <c r="V127" s="1">
        <v>0</v>
      </c>
      <c r="W127" s="1" t="s">
        <v>13</v>
      </c>
    </row>
    <row r="128" spans="1:23" hidden="1">
      <c r="A128">
        <v>119</v>
      </c>
      <c r="B128" s="1">
        <v>4</v>
      </c>
      <c r="C128" s="1">
        <v>3</v>
      </c>
      <c r="D128" s="1">
        <v>1</v>
      </c>
      <c r="E128" s="1">
        <v>1</v>
      </c>
      <c r="F128" t="str">
        <f t="shared" si="6"/>
        <v>7F80</v>
      </c>
      <c r="G128" t="str">
        <f t="shared" si="7"/>
        <v>7F807F</v>
      </c>
      <c r="H128">
        <f t="shared" si="8"/>
        <v>32640</v>
      </c>
      <c r="I128">
        <f t="shared" si="9"/>
        <v>8355967</v>
      </c>
      <c r="J128" t="str">
        <f t="shared" si="10"/>
        <v>3FFFFF</v>
      </c>
      <c r="N128" s="1">
        <v>56</v>
      </c>
      <c r="O128" s="1">
        <v>1</v>
      </c>
      <c r="P128" s="1">
        <v>1</v>
      </c>
      <c r="Q128" s="1">
        <v>2</v>
      </c>
      <c r="R128" s="1">
        <v>0</v>
      </c>
      <c r="S128" s="1" t="s">
        <v>21</v>
      </c>
      <c r="T128" s="1">
        <v>0</v>
      </c>
      <c r="U128" s="1">
        <v>255</v>
      </c>
      <c r="V128" s="1">
        <v>0</v>
      </c>
      <c r="W128" s="1" t="s">
        <v>13</v>
      </c>
    </row>
    <row r="129" spans="1:23" hidden="1">
      <c r="A129">
        <v>120</v>
      </c>
      <c r="B129" s="1">
        <v>0</v>
      </c>
      <c r="C129" s="1">
        <v>4</v>
      </c>
      <c r="D129" s="1">
        <v>1</v>
      </c>
      <c r="E129" s="1">
        <v>1</v>
      </c>
      <c r="F129" t="str">
        <f t="shared" si="6"/>
        <v>0</v>
      </c>
      <c r="G129" t="str">
        <f t="shared" si="7"/>
        <v>7F80</v>
      </c>
      <c r="H129">
        <f t="shared" si="8"/>
        <v>0</v>
      </c>
      <c r="I129">
        <f t="shared" si="9"/>
        <v>32640</v>
      </c>
      <c r="J129" t="str">
        <f t="shared" si="10"/>
        <v>3FC0</v>
      </c>
      <c r="N129" s="1">
        <v>61</v>
      </c>
      <c r="O129" s="1">
        <v>1</v>
      </c>
      <c r="P129" s="1">
        <v>2</v>
      </c>
      <c r="Q129" s="1">
        <v>2</v>
      </c>
      <c r="R129" s="1">
        <v>0</v>
      </c>
      <c r="S129" s="1" t="s">
        <v>21</v>
      </c>
      <c r="T129" s="1">
        <v>0</v>
      </c>
      <c r="U129" s="1">
        <v>255</v>
      </c>
      <c r="V129" s="1">
        <v>0</v>
      </c>
      <c r="W129" s="1" t="s">
        <v>13</v>
      </c>
    </row>
    <row r="130" spans="1:23" hidden="1">
      <c r="A130">
        <v>121</v>
      </c>
      <c r="B130" s="1">
        <v>1</v>
      </c>
      <c r="C130" s="1">
        <v>4</v>
      </c>
      <c r="D130" s="1">
        <v>1</v>
      </c>
      <c r="E130" s="1">
        <v>1</v>
      </c>
      <c r="F130" t="str">
        <f t="shared" si="6"/>
        <v>7F</v>
      </c>
      <c r="G130" t="str">
        <f t="shared" si="7"/>
        <v>7F80</v>
      </c>
      <c r="H130">
        <f t="shared" si="8"/>
        <v>127</v>
      </c>
      <c r="I130">
        <f t="shared" si="9"/>
        <v>32640</v>
      </c>
      <c r="J130" t="str">
        <f t="shared" si="10"/>
        <v>3FFF</v>
      </c>
      <c r="N130" s="1">
        <v>66</v>
      </c>
      <c r="O130" s="1">
        <v>1</v>
      </c>
      <c r="P130" s="1">
        <v>3</v>
      </c>
      <c r="Q130" s="1">
        <v>2</v>
      </c>
      <c r="R130" s="1">
        <v>0</v>
      </c>
      <c r="S130" s="1" t="s">
        <v>21</v>
      </c>
      <c r="T130" s="1">
        <v>0</v>
      </c>
      <c r="U130" s="1">
        <v>255</v>
      </c>
      <c r="V130" s="1">
        <v>0</v>
      </c>
      <c r="W130" s="1" t="s">
        <v>13</v>
      </c>
    </row>
    <row r="131" spans="1:23" hidden="1">
      <c r="A131">
        <v>122</v>
      </c>
      <c r="B131" s="1">
        <v>2</v>
      </c>
      <c r="C131" s="1">
        <v>4</v>
      </c>
      <c r="D131" s="1">
        <v>1</v>
      </c>
      <c r="E131" s="1">
        <v>1</v>
      </c>
      <c r="F131" t="str">
        <f t="shared" si="6"/>
        <v>7F8000</v>
      </c>
      <c r="G131" t="str">
        <f t="shared" si="7"/>
        <v>7F80</v>
      </c>
      <c r="H131">
        <f t="shared" si="8"/>
        <v>8355840</v>
      </c>
      <c r="I131">
        <f t="shared" si="9"/>
        <v>32640</v>
      </c>
      <c r="J131" t="str">
        <f t="shared" si="10"/>
        <v>3FFFC0</v>
      </c>
      <c r="N131" s="1">
        <v>71</v>
      </c>
      <c r="O131" s="1">
        <v>1</v>
      </c>
      <c r="P131" s="1">
        <v>4</v>
      </c>
      <c r="Q131" s="1">
        <v>2</v>
      </c>
      <c r="R131" s="1">
        <v>0</v>
      </c>
      <c r="S131" s="1" t="s">
        <v>21</v>
      </c>
      <c r="T131" s="1">
        <v>0</v>
      </c>
      <c r="U131" s="1">
        <v>255</v>
      </c>
      <c r="V131" s="1">
        <v>0</v>
      </c>
      <c r="W131" s="1" t="s">
        <v>13</v>
      </c>
    </row>
    <row r="132" spans="1:23" hidden="1">
      <c r="A132">
        <v>123</v>
      </c>
      <c r="B132" s="1">
        <v>3</v>
      </c>
      <c r="C132" s="1">
        <v>4</v>
      </c>
      <c r="D132" s="1">
        <v>1</v>
      </c>
      <c r="E132" s="1">
        <v>1</v>
      </c>
      <c r="F132" t="str">
        <f t="shared" si="6"/>
        <v>7F807F</v>
      </c>
      <c r="G132" t="str">
        <f t="shared" si="7"/>
        <v>7F80</v>
      </c>
      <c r="H132">
        <f t="shared" si="8"/>
        <v>8355967</v>
      </c>
      <c r="I132">
        <f t="shared" si="9"/>
        <v>32640</v>
      </c>
      <c r="J132" t="str">
        <f t="shared" si="10"/>
        <v>3FFFFF</v>
      </c>
      <c r="N132" s="1">
        <v>106</v>
      </c>
      <c r="O132" s="1">
        <v>1</v>
      </c>
      <c r="P132" s="1">
        <v>1</v>
      </c>
      <c r="Q132" s="1">
        <v>1</v>
      </c>
      <c r="R132" s="1">
        <v>1</v>
      </c>
      <c r="S132" s="1" t="s">
        <v>13</v>
      </c>
      <c r="T132" s="1" t="s">
        <v>13</v>
      </c>
      <c r="U132" s="1">
        <v>127</v>
      </c>
      <c r="V132" s="1">
        <v>127</v>
      </c>
      <c r="W132" s="1" t="s">
        <v>13</v>
      </c>
    </row>
    <row r="133" spans="1:23" hidden="1">
      <c r="A133">
        <v>124</v>
      </c>
      <c r="B133" s="1">
        <v>4</v>
      </c>
      <c r="C133" s="1">
        <v>4</v>
      </c>
      <c r="D133" s="1">
        <v>1</v>
      </c>
      <c r="E133" s="1">
        <v>1</v>
      </c>
      <c r="F133" t="str">
        <f t="shared" si="6"/>
        <v>7F80</v>
      </c>
      <c r="G133" t="str">
        <f t="shared" si="7"/>
        <v>7F80</v>
      </c>
      <c r="H133">
        <f t="shared" si="8"/>
        <v>32640</v>
      </c>
      <c r="I133">
        <f t="shared" si="9"/>
        <v>32640</v>
      </c>
      <c r="J133" t="str">
        <f t="shared" si="10"/>
        <v>7F80</v>
      </c>
      <c r="N133" s="1">
        <v>126</v>
      </c>
      <c r="O133" s="1">
        <v>1</v>
      </c>
      <c r="P133" s="1">
        <v>0</v>
      </c>
      <c r="Q133" s="1">
        <v>2</v>
      </c>
      <c r="R133" s="1">
        <v>1</v>
      </c>
      <c r="S133" s="1" t="s">
        <v>21</v>
      </c>
      <c r="T133" s="1" t="s">
        <v>12</v>
      </c>
      <c r="U133" s="1">
        <v>255</v>
      </c>
      <c r="V133" s="1">
        <v>0</v>
      </c>
      <c r="W133" s="1" t="s">
        <v>13</v>
      </c>
    </row>
    <row r="134" spans="1:23" hidden="1">
      <c r="A134">
        <v>125</v>
      </c>
      <c r="B134" s="1">
        <v>0</v>
      </c>
      <c r="C134" s="1">
        <v>0</v>
      </c>
      <c r="D134" s="1">
        <v>2</v>
      </c>
      <c r="E134" s="1">
        <v>1</v>
      </c>
      <c r="F134" t="str">
        <f t="shared" si="6"/>
        <v>0</v>
      </c>
      <c r="G134" t="str">
        <f t="shared" si="7"/>
        <v>0</v>
      </c>
      <c r="H134">
        <f t="shared" si="8"/>
        <v>0</v>
      </c>
      <c r="I134">
        <f t="shared" si="9"/>
        <v>0</v>
      </c>
      <c r="J134" t="str">
        <f t="shared" si="10"/>
        <v>0</v>
      </c>
      <c r="N134" s="1">
        <v>155</v>
      </c>
      <c r="O134" s="1">
        <v>0</v>
      </c>
      <c r="P134" s="1">
        <v>1</v>
      </c>
      <c r="Q134" s="1">
        <v>0</v>
      </c>
      <c r="R134" s="1">
        <v>2</v>
      </c>
      <c r="S134" s="1">
        <v>0</v>
      </c>
      <c r="T134" s="1" t="s">
        <v>21</v>
      </c>
      <c r="U134" s="1">
        <v>0</v>
      </c>
      <c r="V134" s="1">
        <v>255</v>
      </c>
      <c r="W134" s="1" t="s">
        <v>13</v>
      </c>
    </row>
    <row r="135" spans="1:23" hidden="1">
      <c r="A135">
        <v>126</v>
      </c>
      <c r="B135" s="1">
        <v>1</v>
      </c>
      <c r="C135" s="1">
        <v>0</v>
      </c>
      <c r="D135" s="1">
        <v>2</v>
      </c>
      <c r="E135" s="1">
        <v>1</v>
      </c>
      <c r="F135" t="str">
        <f t="shared" si="6"/>
        <v>FF</v>
      </c>
      <c r="G135" t="str">
        <f t="shared" si="7"/>
        <v>0</v>
      </c>
      <c r="H135">
        <f t="shared" si="8"/>
        <v>255</v>
      </c>
      <c r="I135">
        <f t="shared" si="9"/>
        <v>0</v>
      </c>
      <c r="J135" t="str">
        <f t="shared" si="10"/>
        <v>7F</v>
      </c>
      <c r="N135" s="1">
        <v>156</v>
      </c>
      <c r="O135" s="1">
        <v>1</v>
      </c>
      <c r="P135" s="1">
        <v>1</v>
      </c>
      <c r="Q135" s="1">
        <v>0</v>
      </c>
      <c r="R135" s="1">
        <v>2</v>
      </c>
      <c r="S135" s="1">
        <v>0</v>
      </c>
      <c r="T135" s="1" t="s">
        <v>21</v>
      </c>
      <c r="U135" s="1">
        <v>0</v>
      </c>
      <c r="V135" s="1">
        <v>255</v>
      </c>
      <c r="W135" s="1" t="s">
        <v>13</v>
      </c>
    </row>
    <row r="136" spans="1:23" hidden="1">
      <c r="A136">
        <v>127</v>
      </c>
      <c r="B136" s="1">
        <v>2</v>
      </c>
      <c r="C136" s="1">
        <v>0</v>
      </c>
      <c r="D136" s="1">
        <v>2</v>
      </c>
      <c r="E136" s="1">
        <v>1</v>
      </c>
      <c r="F136" t="str">
        <f t="shared" si="6"/>
        <v>FF0000</v>
      </c>
      <c r="G136" t="str">
        <f t="shared" si="7"/>
        <v>0</v>
      </c>
      <c r="H136">
        <f t="shared" si="8"/>
        <v>16711680</v>
      </c>
      <c r="I136">
        <f t="shared" si="9"/>
        <v>0</v>
      </c>
      <c r="J136" t="str">
        <f t="shared" si="10"/>
        <v>7F8000</v>
      </c>
      <c r="N136" s="1">
        <v>157</v>
      </c>
      <c r="O136" s="1">
        <v>2</v>
      </c>
      <c r="P136" s="1">
        <v>1</v>
      </c>
      <c r="Q136" s="1">
        <v>0</v>
      </c>
      <c r="R136" s="1">
        <v>2</v>
      </c>
      <c r="S136" s="1">
        <v>0</v>
      </c>
      <c r="T136" s="1" t="s">
        <v>21</v>
      </c>
      <c r="U136" s="1">
        <v>0</v>
      </c>
      <c r="V136" s="1">
        <v>255</v>
      </c>
      <c r="W136" s="1" t="s">
        <v>13</v>
      </c>
    </row>
    <row r="137" spans="1:23" hidden="1">
      <c r="A137">
        <v>128</v>
      </c>
      <c r="B137" s="1">
        <v>3</v>
      </c>
      <c r="C137" s="1">
        <v>0</v>
      </c>
      <c r="D137" s="1">
        <v>2</v>
      </c>
      <c r="E137" s="1">
        <v>1</v>
      </c>
      <c r="F137" t="str">
        <f t="shared" si="6"/>
        <v>FF00FF</v>
      </c>
      <c r="G137" t="str">
        <f t="shared" si="7"/>
        <v>0</v>
      </c>
      <c r="H137">
        <f t="shared" si="8"/>
        <v>16711935</v>
      </c>
      <c r="I137">
        <f t="shared" si="9"/>
        <v>0</v>
      </c>
      <c r="J137" t="str">
        <f t="shared" si="10"/>
        <v>7F807F</v>
      </c>
      <c r="N137" s="1">
        <v>158</v>
      </c>
      <c r="O137" s="1">
        <v>3</v>
      </c>
      <c r="P137" s="1">
        <v>1</v>
      </c>
      <c r="Q137" s="1">
        <v>0</v>
      </c>
      <c r="R137" s="1">
        <v>2</v>
      </c>
      <c r="S137" s="1">
        <v>0</v>
      </c>
      <c r="T137" s="1" t="s">
        <v>21</v>
      </c>
      <c r="U137" s="1">
        <v>0</v>
      </c>
      <c r="V137" s="1">
        <v>255</v>
      </c>
      <c r="W137" s="1" t="s">
        <v>13</v>
      </c>
    </row>
    <row r="138" spans="1:23">
      <c r="A138">
        <v>129</v>
      </c>
      <c r="B138" s="1">
        <v>4</v>
      </c>
      <c r="C138" s="1">
        <v>0</v>
      </c>
      <c r="D138" s="1">
        <v>2</v>
      </c>
      <c r="E138" s="1">
        <v>1</v>
      </c>
      <c r="F138" t="str">
        <f t="shared" ref="F138:F201" si="11">VLOOKUP(B138,$A$2:$G$6,5+D138,0)</f>
        <v>FF00</v>
      </c>
      <c r="G138" t="str">
        <f t="shared" ref="G138:G201" si="12">VLOOKUP(C138,$A$2:$G$6,5+E138,0)</f>
        <v>0</v>
      </c>
      <c r="H138">
        <f t="shared" ref="H138:H201" si="13">HEX2DEC(F138)</f>
        <v>65280</v>
      </c>
      <c r="I138">
        <f t="shared" ref="I138:I201" si="14">HEX2DEC(G138)</f>
        <v>0</v>
      </c>
      <c r="J138" t="str">
        <f t="shared" ref="J138:J201" si="15">DEC2HEX((H138+I138)/2)</f>
        <v>7F80</v>
      </c>
      <c r="N138" s="1">
        <v>159</v>
      </c>
      <c r="O138" s="1">
        <v>4</v>
      </c>
      <c r="P138" s="1">
        <v>1</v>
      </c>
      <c r="Q138" s="1">
        <v>0</v>
      </c>
      <c r="R138" s="1">
        <v>2</v>
      </c>
      <c r="S138" s="1">
        <v>0</v>
      </c>
      <c r="T138" s="1" t="s">
        <v>21</v>
      </c>
      <c r="U138" s="1">
        <v>0</v>
      </c>
      <c r="V138" s="1">
        <v>255</v>
      </c>
      <c r="W138" s="1" t="s">
        <v>13</v>
      </c>
    </row>
    <row r="139" spans="1:23" hidden="1">
      <c r="A139">
        <v>130</v>
      </c>
      <c r="B139" s="1">
        <v>0</v>
      </c>
      <c r="C139" s="1">
        <v>1</v>
      </c>
      <c r="D139" s="1">
        <v>2</v>
      </c>
      <c r="E139" s="1">
        <v>1</v>
      </c>
      <c r="F139" t="str">
        <f t="shared" si="11"/>
        <v>0</v>
      </c>
      <c r="G139" t="str">
        <f t="shared" si="12"/>
        <v>7F</v>
      </c>
      <c r="H139">
        <f t="shared" si="13"/>
        <v>0</v>
      </c>
      <c r="I139">
        <f t="shared" si="14"/>
        <v>127</v>
      </c>
      <c r="J139" t="str">
        <f t="shared" si="15"/>
        <v>3F</v>
      </c>
      <c r="N139" s="1">
        <v>180</v>
      </c>
      <c r="O139" s="1">
        <v>0</v>
      </c>
      <c r="P139" s="1">
        <v>1</v>
      </c>
      <c r="Q139" s="1">
        <v>1</v>
      </c>
      <c r="R139" s="1">
        <v>2</v>
      </c>
      <c r="S139" s="1" t="s">
        <v>12</v>
      </c>
      <c r="T139" s="1" t="s">
        <v>21</v>
      </c>
      <c r="U139" s="1">
        <v>0</v>
      </c>
      <c r="V139" s="1">
        <v>255</v>
      </c>
      <c r="W139" s="1" t="s">
        <v>13</v>
      </c>
    </row>
    <row r="140" spans="1:23" hidden="1">
      <c r="A140">
        <v>131</v>
      </c>
      <c r="B140" s="1">
        <v>1</v>
      </c>
      <c r="C140" s="1">
        <v>1</v>
      </c>
      <c r="D140" s="1">
        <v>2</v>
      </c>
      <c r="E140" s="1">
        <v>1</v>
      </c>
      <c r="F140" t="str">
        <f t="shared" si="11"/>
        <v>FF</v>
      </c>
      <c r="G140" t="str">
        <f t="shared" si="12"/>
        <v>7F</v>
      </c>
      <c r="H140">
        <f t="shared" si="13"/>
        <v>255</v>
      </c>
      <c r="I140">
        <f t="shared" si="14"/>
        <v>127</v>
      </c>
      <c r="J140" t="str">
        <f t="shared" si="15"/>
        <v>BF</v>
      </c>
      <c r="N140" s="1">
        <v>201</v>
      </c>
      <c r="O140" s="1">
        <v>1</v>
      </c>
      <c r="P140" s="1">
        <v>0</v>
      </c>
      <c r="Q140" s="1">
        <v>2</v>
      </c>
      <c r="R140" s="1">
        <v>2</v>
      </c>
      <c r="S140" s="1" t="s">
        <v>21</v>
      </c>
      <c r="T140" s="1" t="s">
        <v>12</v>
      </c>
      <c r="U140" s="1">
        <v>255</v>
      </c>
      <c r="V140" s="1">
        <v>0</v>
      </c>
      <c r="W140" s="1" t="s">
        <v>13</v>
      </c>
    </row>
    <row r="141" spans="1:23" hidden="1">
      <c r="A141">
        <v>132</v>
      </c>
      <c r="B141" s="1">
        <v>2</v>
      </c>
      <c r="C141" s="1">
        <v>1</v>
      </c>
      <c r="D141" s="1">
        <v>2</v>
      </c>
      <c r="E141" s="1">
        <v>1</v>
      </c>
      <c r="F141" t="str">
        <f t="shared" si="11"/>
        <v>FF0000</v>
      </c>
      <c r="G141" t="str">
        <f t="shared" si="12"/>
        <v>7F</v>
      </c>
      <c r="H141">
        <f t="shared" si="13"/>
        <v>16711680</v>
      </c>
      <c r="I141">
        <f t="shared" si="14"/>
        <v>127</v>
      </c>
      <c r="J141" t="str">
        <f t="shared" si="15"/>
        <v>7F803F</v>
      </c>
      <c r="N141" s="1">
        <v>205</v>
      </c>
      <c r="O141" s="1">
        <v>0</v>
      </c>
      <c r="P141" s="1">
        <v>1</v>
      </c>
      <c r="Q141" s="1">
        <v>2</v>
      </c>
      <c r="R141" s="1">
        <v>2</v>
      </c>
      <c r="S141" s="1" t="s">
        <v>12</v>
      </c>
      <c r="T141" s="1" t="s">
        <v>21</v>
      </c>
      <c r="U141" s="1">
        <v>0</v>
      </c>
      <c r="V141" s="1">
        <v>255</v>
      </c>
      <c r="W141" s="1" t="s">
        <v>13</v>
      </c>
    </row>
    <row r="142" spans="1:23" hidden="1">
      <c r="A142">
        <v>133</v>
      </c>
      <c r="B142" s="1">
        <v>3</v>
      </c>
      <c r="C142" s="1">
        <v>1</v>
      </c>
      <c r="D142" s="1">
        <v>2</v>
      </c>
      <c r="E142" s="1">
        <v>1</v>
      </c>
      <c r="F142" t="str">
        <f t="shared" si="11"/>
        <v>FF00FF</v>
      </c>
      <c r="G142" t="str">
        <f t="shared" si="12"/>
        <v>7F</v>
      </c>
      <c r="H142">
        <f t="shared" si="13"/>
        <v>16711935</v>
      </c>
      <c r="I142">
        <f t="shared" si="14"/>
        <v>127</v>
      </c>
      <c r="J142" t="str">
        <f t="shared" si="15"/>
        <v>7F80BF</v>
      </c>
      <c r="N142" s="1">
        <v>54</v>
      </c>
      <c r="O142" s="1">
        <v>4</v>
      </c>
      <c r="P142" s="1">
        <v>0</v>
      </c>
      <c r="Q142" s="1">
        <v>2</v>
      </c>
      <c r="R142" s="1">
        <v>0</v>
      </c>
      <c r="S142" s="1" t="s">
        <v>24</v>
      </c>
      <c r="T142" s="1">
        <v>0</v>
      </c>
      <c r="U142" s="1">
        <v>65280</v>
      </c>
      <c r="V142" s="1">
        <v>0</v>
      </c>
      <c r="W142" s="1" t="s">
        <v>19</v>
      </c>
    </row>
    <row r="143" spans="1:23">
      <c r="A143">
        <v>134</v>
      </c>
      <c r="B143" s="1">
        <v>4</v>
      </c>
      <c r="C143" s="1">
        <v>1</v>
      </c>
      <c r="D143" s="1">
        <v>2</v>
      </c>
      <c r="E143" s="1">
        <v>1</v>
      </c>
      <c r="F143" t="str">
        <f t="shared" si="11"/>
        <v>FF00</v>
      </c>
      <c r="G143" t="str">
        <f t="shared" si="12"/>
        <v>7F</v>
      </c>
      <c r="H143">
        <f t="shared" si="13"/>
        <v>65280</v>
      </c>
      <c r="I143">
        <f t="shared" si="14"/>
        <v>127</v>
      </c>
      <c r="J143" t="str">
        <f t="shared" si="15"/>
        <v>7FBF</v>
      </c>
      <c r="N143" s="1">
        <v>59</v>
      </c>
      <c r="O143" s="1">
        <v>4</v>
      </c>
      <c r="P143" s="1">
        <v>1</v>
      </c>
      <c r="Q143" s="1">
        <v>2</v>
      </c>
      <c r="R143" s="1">
        <v>0</v>
      </c>
      <c r="S143" s="1" t="s">
        <v>24</v>
      </c>
      <c r="T143" s="1">
        <v>0</v>
      </c>
      <c r="U143" s="1">
        <v>65280</v>
      </c>
      <c r="V143" s="1">
        <v>0</v>
      </c>
      <c r="W143" s="1" t="s">
        <v>19</v>
      </c>
    </row>
    <row r="144" spans="1:23" hidden="1">
      <c r="A144">
        <v>135</v>
      </c>
      <c r="B144" s="1">
        <v>0</v>
      </c>
      <c r="C144" s="1">
        <v>2</v>
      </c>
      <c r="D144" s="1">
        <v>2</v>
      </c>
      <c r="E144" s="1">
        <v>1</v>
      </c>
      <c r="F144" t="str">
        <f t="shared" si="11"/>
        <v>0</v>
      </c>
      <c r="G144" t="str">
        <f t="shared" si="12"/>
        <v>7F8000</v>
      </c>
      <c r="H144">
        <f t="shared" si="13"/>
        <v>0</v>
      </c>
      <c r="I144">
        <f t="shared" si="14"/>
        <v>8355840</v>
      </c>
      <c r="J144" t="str">
        <f t="shared" si="15"/>
        <v>3FC000</v>
      </c>
      <c r="N144" s="1">
        <v>64</v>
      </c>
      <c r="O144" s="1">
        <v>4</v>
      </c>
      <c r="P144" s="1">
        <v>2</v>
      </c>
      <c r="Q144" s="1">
        <v>2</v>
      </c>
      <c r="R144" s="1">
        <v>0</v>
      </c>
      <c r="S144" s="1" t="s">
        <v>24</v>
      </c>
      <c r="T144" s="1">
        <v>0</v>
      </c>
      <c r="U144" s="1">
        <v>65280</v>
      </c>
      <c r="V144" s="1">
        <v>0</v>
      </c>
      <c r="W144" s="1" t="s">
        <v>19</v>
      </c>
    </row>
    <row r="145" spans="1:23" hidden="1">
      <c r="A145">
        <v>136</v>
      </c>
      <c r="B145" s="1">
        <v>1</v>
      </c>
      <c r="C145" s="1">
        <v>2</v>
      </c>
      <c r="D145" s="1">
        <v>2</v>
      </c>
      <c r="E145" s="1">
        <v>1</v>
      </c>
      <c r="F145" t="str">
        <f t="shared" si="11"/>
        <v>FF</v>
      </c>
      <c r="G145" t="str">
        <f t="shared" si="12"/>
        <v>7F8000</v>
      </c>
      <c r="H145">
        <f t="shared" si="13"/>
        <v>255</v>
      </c>
      <c r="I145">
        <f t="shared" si="14"/>
        <v>8355840</v>
      </c>
      <c r="J145" t="str">
        <f t="shared" si="15"/>
        <v>3FC07F</v>
      </c>
      <c r="N145" s="1">
        <v>69</v>
      </c>
      <c r="O145" s="1">
        <v>4</v>
      </c>
      <c r="P145" s="1">
        <v>3</v>
      </c>
      <c r="Q145" s="1">
        <v>2</v>
      </c>
      <c r="R145" s="1">
        <v>0</v>
      </c>
      <c r="S145" s="1" t="s">
        <v>24</v>
      </c>
      <c r="T145" s="1">
        <v>0</v>
      </c>
      <c r="U145" s="1">
        <v>65280</v>
      </c>
      <c r="V145" s="1">
        <v>0</v>
      </c>
      <c r="W145" s="1" t="s">
        <v>19</v>
      </c>
    </row>
    <row r="146" spans="1:23" hidden="1">
      <c r="A146">
        <v>137</v>
      </c>
      <c r="B146" s="1">
        <v>2</v>
      </c>
      <c r="C146" s="1">
        <v>2</v>
      </c>
      <c r="D146" s="1">
        <v>2</v>
      </c>
      <c r="E146" s="1">
        <v>1</v>
      </c>
      <c r="F146" t="str">
        <f t="shared" si="11"/>
        <v>FF0000</v>
      </c>
      <c r="G146" t="str">
        <f t="shared" si="12"/>
        <v>7F8000</v>
      </c>
      <c r="H146">
        <f t="shared" si="13"/>
        <v>16711680</v>
      </c>
      <c r="I146">
        <f t="shared" si="14"/>
        <v>8355840</v>
      </c>
      <c r="J146" t="str">
        <f t="shared" si="15"/>
        <v>BF4000</v>
      </c>
      <c r="N146" s="1">
        <v>74</v>
      </c>
      <c r="O146" s="1">
        <v>4</v>
      </c>
      <c r="P146" s="1">
        <v>4</v>
      </c>
      <c r="Q146" s="1">
        <v>2</v>
      </c>
      <c r="R146" s="1">
        <v>0</v>
      </c>
      <c r="S146" s="1" t="s">
        <v>24</v>
      </c>
      <c r="T146" s="1">
        <v>0</v>
      </c>
      <c r="U146" s="1">
        <v>65280</v>
      </c>
      <c r="V146" s="1">
        <v>0</v>
      </c>
      <c r="W146" s="1" t="s">
        <v>19</v>
      </c>
    </row>
    <row r="147" spans="1:23" hidden="1">
      <c r="A147">
        <v>138</v>
      </c>
      <c r="B147" s="1">
        <v>3</v>
      </c>
      <c r="C147" s="1">
        <v>2</v>
      </c>
      <c r="D147" s="1">
        <v>2</v>
      </c>
      <c r="E147" s="1">
        <v>1</v>
      </c>
      <c r="F147" t="str">
        <f t="shared" si="11"/>
        <v>FF00FF</v>
      </c>
      <c r="G147" t="str">
        <f t="shared" si="12"/>
        <v>7F8000</v>
      </c>
      <c r="H147">
        <f t="shared" si="13"/>
        <v>16711935</v>
      </c>
      <c r="I147">
        <f t="shared" si="14"/>
        <v>8355840</v>
      </c>
      <c r="J147" t="str">
        <f t="shared" si="15"/>
        <v>BF407F</v>
      </c>
      <c r="N147" s="1">
        <v>124</v>
      </c>
      <c r="O147" s="1">
        <v>4</v>
      </c>
      <c r="P147" s="1">
        <v>4</v>
      </c>
      <c r="Q147" s="1">
        <v>1</v>
      </c>
      <c r="R147" s="1">
        <v>1</v>
      </c>
      <c r="S147" s="1" t="s">
        <v>19</v>
      </c>
      <c r="T147" s="1" t="s">
        <v>19</v>
      </c>
      <c r="U147" s="1">
        <v>32640</v>
      </c>
      <c r="V147" s="1">
        <v>32640</v>
      </c>
      <c r="W147" s="1" t="s">
        <v>19</v>
      </c>
    </row>
    <row r="148" spans="1:23" hidden="1">
      <c r="A148">
        <v>139</v>
      </c>
      <c r="B148" s="1">
        <v>4</v>
      </c>
      <c r="C148" s="1">
        <v>2</v>
      </c>
      <c r="D148" s="1">
        <v>2</v>
      </c>
      <c r="E148" s="1">
        <v>1</v>
      </c>
      <c r="F148" t="str">
        <f t="shared" si="11"/>
        <v>FF00</v>
      </c>
      <c r="G148" t="str">
        <f t="shared" si="12"/>
        <v>7F8000</v>
      </c>
      <c r="H148">
        <f t="shared" si="13"/>
        <v>65280</v>
      </c>
      <c r="I148">
        <f t="shared" si="14"/>
        <v>8355840</v>
      </c>
      <c r="J148" t="str">
        <f t="shared" si="15"/>
        <v>403F80</v>
      </c>
      <c r="N148" s="1">
        <v>129</v>
      </c>
      <c r="O148" s="1">
        <v>4</v>
      </c>
      <c r="P148" s="1">
        <v>0</v>
      </c>
      <c r="Q148" s="1">
        <v>2</v>
      </c>
      <c r="R148" s="1">
        <v>1</v>
      </c>
      <c r="S148" s="1" t="s">
        <v>24</v>
      </c>
      <c r="T148" s="1" t="s">
        <v>12</v>
      </c>
      <c r="U148" s="1">
        <v>65280</v>
      </c>
      <c r="V148" s="1">
        <v>0</v>
      </c>
      <c r="W148" s="1" t="s">
        <v>19</v>
      </c>
    </row>
    <row r="149" spans="1:23" hidden="1">
      <c r="A149">
        <v>140</v>
      </c>
      <c r="B149" s="1">
        <v>0</v>
      </c>
      <c r="C149" s="1">
        <v>3</v>
      </c>
      <c r="D149" s="1">
        <v>2</v>
      </c>
      <c r="E149" s="1">
        <v>1</v>
      </c>
      <c r="F149" t="str">
        <f t="shared" si="11"/>
        <v>0</v>
      </c>
      <c r="G149" t="str">
        <f t="shared" si="12"/>
        <v>7F807F</v>
      </c>
      <c r="H149">
        <f t="shared" si="13"/>
        <v>0</v>
      </c>
      <c r="I149">
        <f t="shared" si="14"/>
        <v>8355967</v>
      </c>
      <c r="J149" t="str">
        <f t="shared" si="15"/>
        <v>3FC03F</v>
      </c>
      <c r="N149" s="1">
        <v>170</v>
      </c>
      <c r="O149" s="1">
        <v>0</v>
      </c>
      <c r="P149" s="1">
        <v>4</v>
      </c>
      <c r="Q149" s="1">
        <v>0</v>
      </c>
      <c r="R149" s="1">
        <v>2</v>
      </c>
      <c r="S149" s="1">
        <v>0</v>
      </c>
      <c r="T149" s="1" t="s">
        <v>24</v>
      </c>
      <c r="U149" s="1">
        <v>0</v>
      </c>
      <c r="V149" s="1">
        <v>65280</v>
      </c>
      <c r="W149" s="1" t="s">
        <v>19</v>
      </c>
    </row>
    <row r="150" spans="1:23" hidden="1">
      <c r="A150">
        <v>141</v>
      </c>
      <c r="B150" s="1">
        <v>1</v>
      </c>
      <c r="C150" s="1">
        <v>3</v>
      </c>
      <c r="D150" s="1">
        <v>2</v>
      </c>
      <c r="E150" s="1">
        <v>1</v>
      </c>
      <c r="F150" t="str">
        <f t="shared" si="11"/>
        <v>FF</v>
      </c>
      <c r="G150" t="str">
        <f t="shared" si="12"/>
        <v>7F807F</v>
      </c>
      <c r="H150">
        <f t="shared" si="13"/>
        <v>255</v>
      </c>
      <c r="I150">
        <f t="shared" si="14"/>
        <v>8355967</v>
      </c>
      <c r="J150" t="str">
        <f t="shared" si="15"/>
        <v>3FC0BF</v>
      </c>
      <c r="N150" s="1">
        <v>171</v>
      </c>
      <c r="O150" s="1">
        <v>1</v>
      </c>
      <c r="P150" s="1">
        <v>4</v>
      </c>
      <c r="Q150" s="1">
        <v>0</v>
      </c>
      <c r="R150" s="1">
        <v>2</v>
      </c>
      <c r="S150" s="1">
        <v>0</v>
      </c>
      <c r="T150" s="1" t="s">
        <v>24</v>
      </c>
      <c r="U150" s="1">
        <v>0</v>
      </c>
      <c r="V150" s="1">
        <v>65280</v>
      </c>
      <c r="W150" s="1" t="s">
        <v>19</v>
      </c>
    </row>
    <row r="151" spans="1:23" hidden="1">
      <c r="A151">
        <v>142</v>
      </c>
      <c r="B151" s="1">
        <v>2</v>
      </c>
      <c r="C151" s="1">
        <v>3</v>
      </c>
      <c r="D151" s="1">
        <v>2</v>
      </c>
      <c r="E151" s="1">
        <v>1</v>
      </c>
      <c r="F151" t="str">
        <f t="shared" si="11"/>
        <v>FF0000</v>
      </c>
      <c r="G151" t="str">
        <f t="shared" si="12"/>
        <v>7F807F</v>
      </c>
      <c r="H151">
        <f t="shared" si="13"/>
        <v>16711680</v>
      </c>
      <c r="I151">
        <f t="shared" si="14"/>
        <v>8355967</v>
      </c>
      <c r="J151" t="str">
        <f t="shared" si="15"/>
        <v>BF403F</v>
      </c>
      <c r="N151" s="1">
        <v>172</v>
      </c>
      <c r="O151" s="1">
        <v>2</v>
      </c>
      <c r="P151" s="1">
        <v>4</v>
      </c>
      <c r="Q151" s="1">
        <v>0</v>
      </c>
      <c r="R151" s="1">
        <v>2</v>
      </c>
      <c r="S151" s="1">
        <v>0</v>
      </c>
      <c r="T151" s="1" t="s">
        <v>24</v>
      </c>
      <c r="U151" s="1">
        <v>0</v>
      </c>
      <c r="V151" s="1">
        <v>65280</v>
      </c>
      <c r="W151" s="1" t="s">
        <v>19</v>
      </c>
    </row>
    <row r="152" spans="1:23" hidden="1">
      <c r="A152">
        <v>143</v>
      </c>
      <c r="B152" s="1">
        <v>3</v>
      </c>
      <c r="C152" s="1">
        <v>3</v>
      </c>
      <c r="D152" s="1">
        <v>2</v>
      </c>
      <c r="E152" s="1">
        <v>1</v>
      </c>
      <c r="F152" t="str">
        <f t="shared" si="11"/>
        <v>FF00FF</v>
      </c>
      <c r="G152" t="str">
        <f t="shared" si="12"/>
        <v>7F807F</v>
      </c>
      <c r="H152">
        <f t="shared" si="13"/>
        <v>16711935</v>
      </c>
      <c r="I152">
        <f t="shared" si="14"/>
        <v>8355967</v>
      </c>
      <c r="J152" t="str">
        <f t="shared" si="15"/>
        <v>BF40BF</v>
      </c>
      <c r="N152" s="1">
        <v>173</v>
      </c>
      <c r="O152" s="1">
        <v>3</v>
      </c>
      <c r="P152" s="1">
        <v>4</v>
      </c>
      <c r="Q152" s="1">
        <v>0</v>
      </c>
      <c r="R152" s="1">
        <v>2</v>
      </c>
      <c r="S152" s="1">
        <v>0</v>
      </c>
      <c r="T152" s="1" t="s">
        <v>24</v>
      </c>
      <c r="U152" s="1">
        <v>0</v>
      </c>
      <c r="V152" s="1">
        <v>65280</v>
      </c>
      <c r="W152" s="1" t="s">
        <v>19</v>
      </c>
    </row>
    <row r="153" spans="1:23" hidden="1">
      <c r="A153">
        <v>144</v>
      </c>
      <c r="B153" s="1">
        <v>4</v>
      </c>
      <c r="C153" s="1">
        <v>3</v>
      </c>
      <c r="D153" s="1">
        <v>2</v>
      </c>
      <c r="E153" s="1">
        <v>1</v>
      </c>
      <c r="F153" t="str">
        <f t="shared" si="11"/>
        <v>FF00</v>
      </c>
      <c r="G153" t="str">
        <f t="shared" si="12"/>
        <v>7F807F</v>
      </c>
      <c r="H153">
        <f t="shared" si="13"/>
        <v>65280</v>
      </c>
      <c r="I153">
        <f t="shared" si="14"/>
        <v>8355967</v>
      </c>
      <c r="J153" t="str">
        <f t="shared" si="15"/>
        <v>403FBF</v>
      </c>
      <c r="N153" s="1">
        <v>174</v>
      </c>
      <c r="O153" s="1">
        <v>4</v>
      </c>
      <c r="P153" s="1">
        <v>4</v>
      </c>
      <c r="Q153" s="1">
        <v>0</v>
      </c>
      <c r="R153" s="1">
        <v>2</v>
      </c>
      <c r="S153" s="1">
        <v>0</v>
      </c>
      <c r="T153" s="1" t="s">
        <v>24</v>
      </c>
      <c r="U153" s="1">
        <v>0</v>
      </c>
      <c r="V153" s="1">
        <v>65280</v>
      </c>
      <c r="W153" s="1" t="s">
        <v>19</v>
      </c>
    </row>
    <row r="154" spans="1:23" hidden="1">
      <c r="A154">
        <v>145</v>
      </c>
      <c r="B154" s="1">
        <v>0</v>
      </c>
      <c r="C154" s="1">
        <v>4</v>
      </c>
      <c r="D154" s="1">
        <v>2</v>
      </c>
      <c r="E154" s="1">
        <v>1</v>
      </c>
      <c r="F154" t="str">
        <f t="shared" si="11"/>
        <v>0</v>
      </c>
      <c r="G154" t="str">
        <f t="shared" si="12"/>
        <v>7F80</v>
      </c>
      <c r="H154">
        <f t="shared" si="13"/>
        <v>0</v>
      </c>
      <c r="I154">
        <f t="shared" si="14"/>
        <v>32640</v>
      </c>
      <c r="J154" t="str">
        <f t="shared" si="15"/>
        <v>3FC0</v>
      </c>
      <c r="N154" s="1">
        <v>195</v>
      </c>
      <c r="O154" s="1">
        <v>0</v>
      </c>
      <c r="P154" s="1">
        <v>4</v>
      </c>
      <c r="Q154" s="1">
        <v>1</v>
      </c>
      <c r="R154" s="1">
        <v>2</v>
      </c>
      <c r="S154" s="1" t="s">
        <v>12</v>
      </c>
      <c r="T154" s="1" t="s">
        <v>24</v>
      </c>
      <c r="U154" s="1">
        <v>0</v>
      </c>
      <c r="V154" s="1">
        <v>65280</v>
      </c>
      <c r="W154" s="1" t="s">
        <v>19</v>
      </c>
    </row>
    <row r="155" spans="1:23" hidden="1">
      <c r="A155">
        <v>146</v>
      </c>
      <c r="B155" s="1">
        <v>1</v>
      </c>
      <c r="C155" s="1">
        <v>4</v>
      </c>
      <c r="D155" s="1">
        <v>2</v>
      </c>
      <c r="E155" s="1">
        <v>1</v>
      </c>
      <c r="F155" t="str">
        <f t="shared" si="11"/>
        <v>FF</v>
      </c>
      <c r="G155" t="str">
        <f t="shared" si="12"/>
        <v>7F80</v>
      </c>
      <c r="H155">
        <f t="shared" si="13"/>
        <v>255</v>
      </c>
      <c r="I155">
        <f t="shared" si="14"/>
        <v>32640</v>
      </c>
      <c r="J155" t="str">
        <f t="shared" si="15"/>
        <v>403F</v>
      </c>
      <c r="N155" s="1">
        <v>204</v>
      </c>
      <c r="O155" s="1">
        <v>4</v>
      </c>
      <c r="P155" s="1">
        <v>0</v>
      </c>
      <c r="Q155" s="1">
        <v>2</v>
      </c>
      <c r="R155" s="1">
        <v>2</v>
      </c>
      <c r="S155" s="1" t="s">
        <v>24</v>
      </c>
      <c r="T155" s="1" t="s">
        <v>12</v>
      </c>
      <c r="U155" s="1">
        <v>65280</v>
      </c>
      <c r="V155" s="1">
        <v>0</v>
      </c>
      <c r="W155" s="1" t="s">
        <v>19</v>
      </c>
    </row>
    <row r="156" spans="1:23" hidden="1">
      <c r="A156">
        <v>147</v>
      </c>
      <c r="B156" s="1">
        <v>2</v>
      </c>
      <c r="C156" s="1">
        <v>4</v>
      </c>
      <c r="D156" s="1">
        <v>2</v>
      </c>
      <c r="E156" s="1">
        <v>1</v>
      </c>
      <c r="F156" t="str">
        <f t="shared" si="11"/>
        <v>FF0000</v>
      </c>
      <c r="G156" t="str">
        <f t="shared" si="12"/>
        <v>7F80</v>
      </c>
      <c r="H156">
        <f t="shared" si="13"/>
        <v>16711680</v>
      </c>
      <c r="I156">
        <f t="shared" si="14"/>
        <v>32640</v>
      </c>
      <c r="J156" t="str">
        <f t="shared" si="15"/>
        <v>7FBFC0</v>
      </c>
      <c r="N156" s="1">
        <v>220</v>
      </c>
      <c r="O156" s="1">
        <v>0</v>
      </c>
      <c r="P156" s="1">
        <v>4</v>
      </c>
      <c r="Q156" s="1">
        <v>2</v>
      </c>
      <c r="R156" s="1">
        <v>2</v>
      </c>
      <c r="S156" s="1" t="s">
        <v>12</v>
      </c>
      <c r="T156" s="1" t="s">
        <v>24</v>
      </c>
      <c r="U156" s="1">
        <v>0</v>
      </c>
      <c r="V156" s="1">
        <v>65280</v>
      </c>
      <c r="W156" s="1" t="s">
        <v>19</v>
      </c>
    </row>
    <row r="157" spans="1:23" hidden="1">
      <c r="A157">
        <v>148</v>
      </c>
      <c r="B157" s="1">
        <v>3</v>
      </c>
      <c r="C157" s="1">
        <v>4</v>
      </c>
      <c r="D157" s="1">
        <v>2</v>
      </c>
      <c r="E157" s="1">
        <v>1</v>
      </c>
      <c r="F157" t="str">
        <f t="shared" si="11"/>
        <v>FF00FF</v>
      </c>
      <c r="G157" t="str">
        <f t="shared" si="12"/>
        <v>7F80</v>
      </c>
      <c r="H157">
        <f t="shared" si="13"/>
        <v>16711935</v>
      </c>
      <c r="I157">
        <f t="shared" si="14"/>
        <v>32640</v>
      </c>
      <c r="J157" t="str">
        <f t="shared" si="15"/>
        <v>7FC03F</v>
      </c>
      <c r="N157" s="1">
        <v>52</v>
      </c>
      <c r="O157" s="1">
        <v>2</v>
      </c>
      <c r="P157" s="1">
        <v>0</v>
      </c>
      <c r="Q157" s="1">
        <v>2</v>
      </c>
      <c r="R157" s="1">
        <v>0</v>
      </c>
      <c r="S157" s="1" t="s">
        <v>22</v>
      </c>
      <c r="T157" s="1">
        <v>0</v>
      </c>
      <c r="U157" s="1">
        <v>16711680</v>
      </c>
      <c r="V157" s="1">
        <v>0</v>
      </c>
      <c r="W157" s="1" t="s">
        <v>15</v>
      </c>
    </row>
    <row r="158" spans="1:23" hidden="1">
      <c r="A158">
        <v>149</v>
      </c>
      <c r="B158" s="1">
        <v>4</v>
      </c>
      <c r="C158" s="1">
        <v>4</v>
      </c>
      <c r="D158" s="1">
        <v>2</v>
      </c>
      <c r="E158" s="1">
        <v>1</v>
      </c>
      <c r="F158" t="str">
        <f t="shared" si="11"/>
        <v>FF00</v>
      </c>
      <c r="G158" t="str">
        <f t="shared" si="12"/>
        <v>7F80</v>
      </c>
      <c r="H158">
        <f t="shared" si="13"/>
        <v>65280</v>
      </c>
      <c r="I158">
        <f t="shared" si="14"/>
        <v>32640</v>
      </c>
      <c r="J158" t="str">
        <f t="shared" si="15"/>
        <v>BF40</v>
      </c>
      <c r="N158" s="1">
        <v>57</v>
      </c>
      <c r="O158" s="1">
        <v>2</v>
      </c>
      <c r="P158" s="1">
        <v>1</v>
      </c>
      <c r="Q158" s="1">
        <v>2</v>
      </c>
      <c r="R158" s="1">
        <v>0</v>
      </c>
      <c r="S158" s="1" t="s">
        <v>22</v>
      </c>
      <c r="T158" s="1">
        <v>0</v>
      </c>
      <c r="U158" s="1">
        <v>16711680</v>
      </c>
      <c r="V158" s="1">
        <v>0</v>
      </c>
      <c r="W158" s="1" t="s">
        <v>15</v>
      </c>
    </row>
    <row r="159" spans="1:23" hidden="1">
      <c r="A159">
        <v>150</v>
      </c>
      <c r="B159" s="1">
        <v>0</v>
      </c>
      <c r="C159" s="1">
        <v>0</v>
      </c>
      <c r="D159" s="1">
        <v>0</v>
      </c>
      <c r="E159" s="1">
        <v>2</v>
      </c>
      <c r="F159">
        <f t="shared" si="11"/>
        <v>0</v>
      </c>
      <c r="G159" t="str">
        <f t="shared" si="12"/>
        <v>0</v>
      </c>
      <c r="H159">
        <f t="shared" si="13"/>
        <v>0</v>
      </c>
      <c r="I159">
        <f t="shared" si="14"/>
        <v>0</v>
      </c>
      <c r="J159" t="str">
        <f t="shared" si="15"/>
        <v>0</v>
      </c>
      <c r="N159" s="1">
        <v>62</v>
      </c>
      <c r="O159" s="1">
        <v>2</v>
      </c>
      <c r="P159" s="1">
        <v>2</v>
      </c>
      <c r="Q159" s="1">
        <v>2</v>
      </c>
      <c r="R159" s="1">
        <v>0</v>
      </c>
      <c r="S159" s="1" t="s">
        <v>22</v>
      </c>
      <c r="T159" s="1">
        <v>0</v>
      </c>
      <c r="U159" s="1">
        <v>16711680</v>
      </c>
      <c r="V159" s="1">
        <v>0</v>
      </c>
      <c r="W159" s="1" t="s">
        <v>15</v>
      </c>
    </row>
    <row r="160" spans="1:23" hidden="1">
      <c r="A160">
        <v>151</v>
      </c>
      <c r="B160" s="1">
        <v>1</v>
      </c>
      <c r="C160" s="1">
        <v>0</v>
      </c>
      <c r="D160" s="1">
        <v>0</v>
      </c>
      <c r="E160" s="1">
        <v>2</v>
      </c>
      <c r="F160">
        <f t="shared" si="11"/>
        <v>0</v>
      </c>
      <c r="G160" t="str">
        <f t="shared" si="12"/>
        <v>0</v>
      </c>
      <c r="H160">
        <f t="shared" si="13"/>
        <v>0</v>
      </c>
      <c r="I160">
        <f t="shared" si="14"/>
        <v>0</v>
      </c>
      <c r="J160" t="str">
        <f t="shared" si="15"/>
        <v>0</v>
      </c>
      <c r="N160" s="1">
        <v>67</v>
      </c>
      <c r="O160" s="1">
        <v>2</v>
      </c>
      <c r="P160" s="1">
        <v>3</v>
      </c>
      <c r="Q160" s="1">
        <v>2</v>
      </c>
      <c r="R160" s="1">
        <v>0</v>
      </c>
      <c r="S160" s="1" t="s">
        <v>22</v>
      </c>
      <c r="T160" s="1">
        <v>0</v>
      </c>
      <c r="U160" s="1">
        <v>16711680</v>
      </c>
      <c r="V160" s="1">
        <v>0</v>
      </c>
      <c r="W160" s="1" t="s">
        <v>15</v>
      </c>
    </row>
    <row r="161" spans="1:23" hidden="1">
      <c r="A161">
        <v>152</v>
      </c>
      <c r="B161" s="1">
        <v>2</v>
      </c>
      <c r="C161" s="1">
        <v>0</v>
      </c>
      <c r="D161" s="1">
        <v>0</v>
      </c>
      <c r="E161" s="1">
        <v>2</v>
      </c>
      <c r="F161">
        <f t="shared" si="11"/>
        <v>0</v>
      </c>
      <c r="G161" t="str">
        <f t="shared" si="12"/>
        <v>0</v>
      </c>
      <c r="H161">
        <f t="shared" si="13"/>
        <v>0</v>
      </c>
      <c r="I161">
        <f t="shared" si="14"/>
        <v>0</v>
      </c>
      <c r="J161" t="str">
        <f t="shared" si="15"/>
        <v>0</v>
      </c>
      <c r="N161" s="1">
        <v>72</v>
      </c>
      <c r="O161" s="1">
        <v>2</v>
      </c>
      <c r="P161" s="1">
        <v>4</v>
      </c>
      <c r="Q161" s="1">
        <v>2</v>
      </c>
      <c r="R161" s="1">
        <v>0</v>
      </c>
      <c r="S161" s="1" t="s">
        <v>22</v>
      </c>
      <c r="T161" s="1">
        <v>0</v>
      </c>
      <c r="U161" s="1">
        <v>16711680</v>
      </c>
      <c r="V161" s="1">
        <v>0</v>
      </c>
      <c r="W161" s="1" t="s">
        <v>15</v>
      </c>
    </row>
    <row r="162" spans="1:23" hidden="1">
      <c r="A162">
        <v>153</v>
      </c>
      <c r="B162" s="1">
        <v>3</v>
      </c>
      <c r="C162" s="1">
        <v>0</v>
      </c>
      <c r="D162" s="1">
        <v>0</v>
      </c>
      <c r="E162" s="1">
        <v>2</v>
      </c>
      <c r="F162">
        <f t="shared" si="11"/>
        <v>0</v>
      </c>
      <c r="G162" t="str">
        <f t="shared" si="12"/>
        <v>0</v>
      </c>
      <c r="H162">
        <f t="shared" si="13"/>
        <v>0</v>
      </c>
      <c r="I162">
        <f t="shared" si="14"/>
        <v>0</v>
      </c>
      <c r="J162" t="str">
        <f t="shared" si="15"/>
        <v>0</v>
      </c>
      <c r="N162" s="1">
        <v>112</v>
      </c>
      <c r="O162" s="1">
        <v>2</v>
      </c>
      <c r="P162" s="1">
        <v>2</v>
      </c>
      <c r="Q162" s="1">
        <v>1</v>
      </c>
      <c r="R162" s="1">
        <v>1</v>
      </c>
      <c r="S162" s="1" t="s">
        <v>15</v>
      </c>
      <c r="T162" s="1" t="s">
        <v>15</v>
      </c>
      <c r="U162" s="1">
        <v>8355840</v>
      </c>
      <c r="V162" s="1">
        <v>8355840</v>
      </c>
      <c r="W162" s="1" t="s">
        <v>15</v>
      </c>
    </row>
    <row r="163" spans="1:23" hidden="1">
      <c r="A163">
        <v>154</v>
      </c>
      <c r="B163" s="1">
        <v>4</v>
      </c>
      <c r="C163" s="1">
        <v>0</v>
      </c>
      <c r="D163" s="1">
        <v>0</v>
      </c>
      <c r="E163" s="1">
        <v>2</v>
      </c>
      <c r="F163">
        <f t="shared" si="11"/>
        <v>0</v>
      </c>
      <c r="G163" t="str">
        <f t="shared" si="12"/>
        <v>0</v>
      </c>
      <c r="H163">
        <f t="shared" si="13"/>
        <v>0</v>
      </c>
      <c r="I163">
        <f t="shared" si="14"/>
        <v>0</v>
      </c>
      <c r="J163" t="str">
        <f t="shared" si="15"/>
        <v>0</v>
      </c>
      <c r="N163" s="1">
        <v>127</v>
      </c>
      <c r="O163" s="1">
        <v>2</v>
      </c>
      <c r="P163" s="1">
        <v>0</v>
      </c>
      <c r="Q163" s="1">
        <v>2</v>
      </c>
      <c r="R163" s="1">
        <v>1</v>
      </c>
      <c r="S163" s="1" t="s">
        <v>22</v>
      </c>
      <c r="T163" s="1" t="s">
        <v>12</v>
      </c>
      <c r="U163" s="1">
        <v>16711680</v>
      </c>
      <c r="V163" s="1">
        <v>0</v>
      </c>
      <c r="W163" s="1" t="s">
        <v>15</v>
      </c>
    </row>
    <row r="164" spans="1:23" hidden="1">
      <c r="A164">
        <v>155</v>
      </c>
      <c r="B164" s="1">
        <v>0</v>
      </c>
      <c r="C164" s="1">
        <v>1</v>
      </c>
      <c r="D164" s="1">
        <v>0</v>
      </c>
      <c r="E164" s="1">
        <v>2</v>
      </c>
      <c r="F164">
        <f t="shared" si="11"/>
        <v>0</v>
      </c>
      <c r="G164" t="str">
        <f t="shared" si="12"/>
        <v>FF</v>
      </c>
      <c r="H164">
        <f t="shared" si="13"/>
        <v>0</v>
      </c>
      <c r="I164">
        <f t="shared" si="14"/>
        <v>255</v>
      </c>
      <c r="J164" t="str">
        <f t="shared" si="15"/>
        <v>7F</v>
      </c>
      <c r="N164" s="1">
        <v>160</v>
      </c>
      <c r="O164" s="1">
        <v>0</v>
      </c>
      <c r="P164" s="1">
        <v>2</v>
      </c>
      <c r="Q164" s="1">
        <v>0</v>
      </c>
      <c r="R164" s="1">
        <v>2</v>
      </c>
      <c r="S164" s="1">
        <v>0</v>
      </c>
      <c r="T164" s="1" t="s">
        <v>22</v>
      </c>
      <c r="U164" s="1">
        <v>0</v>
      </c>
      <c r="V164" s="1">
        <v>16711680</v>
      </c>
      <c r="W164" s="1" t="s">
        <v>15</v>
      </c>
    </row>
    <row r="165" spans="1:23" hidden="1">
      <c r="A165">
        <v>156</v>
      </c>
      <c r="B165" s="1">
        <v>1</v>
      </c>
      <c r="C165" s="1">
        <v>1</v>
      </c>
      <c r="D165" s="1">
        <v>0</v>
      </c>
      <c r="E165" s="1">
        <v>2</v>
      </c>
      <c r="F165">
        <f t="shared" si="11"/>
        <v>0</v>
      </c>
      <c r="G165" t="str">
        <f t="shared" si="12"/>
        <v>FF</v>
      </c>
      <c r="H165">
        <f t="shared" si="13"/>
        <v>0</v>
      </c>
      <c r="I165">
        <f t="shared" si="14"/>
        <v>255</v>
      </c>
      <c r="J165" t="str">
        <f t="shared" si="15"/>
        <v>7F</v>
      </c>
      <c r="N165" s="1">
        <v>161</v>
      </c>
      <c r="O165" s="1">
        <v>1</v>
      </c>
      <c r="P165" s="1">
        <v>2</v>
      </c>
      <c r="Q165" s="1">
        <v>0</v>
      </c>
      <c r="R165" s="1">
        <v>2</v>
      </c>
      <c r="S165" s="1">
        <v>0</v>
      </c>
      <c r="T165" s="1" t="s">
        <v>22</v>
      </c>
      <c r="U165" s="1">
        <v>0</v>
      </c>
      <c r="V165" s="1">
        <v>16711680</v>
      </c>
      <c r="W165" s="1" t="s">
        <v>15</v>
      </c>
    </row>
    <row r="166" spans="1:23" hidden="1">
      <c r="A166">
        <v>157</v>
      </c>
      <c r="B166" s="1">
        <v>2</v>
      </c>
      <c r="C166" s="1">
        <v>1</v>
      </c>
      <c r="D166" s="1">
        <v>0</v>
      </c>
      <c r="E166" s="1">
        <v>2</v>
      </c>
      <c r="F166">
        <f t="shared" si="11"/>
        <v>0</v>
      </c>
      <c r="G166" t="str">
        <f t="shared" si="12"/>
        <v>FF</v>
      </c>
      <c r="H166">
        <f t="shared" si="13"/>
        <v>0</v>
      </c>
      <c r="I166">
        <f t="shared" si="14"/>
        <v>255</v>
      </c>
      <c r="J166" t="str">
        <f t="shared" si="15"/>
        <v>7F</v>
      </c>
      <c r="N166" s="1">
        <v>162</v>
      </c>
      <c r="O166" s="1">
        <v>2</v>
      </c>
      <c r="P166" s="1">
        <v>2</v>
      </c>
      <c r="Q166" s="1">
        <v>0</v>
      </c>
      <c r="R166" s="1">
        <v>2</v>
      </c>
      <c r="S166" s="1">
        <v>0</v>
      </c>
      <c r="T166" s="1" t="s">
        <v>22</v>
      </c>
      <c r="U166" s="1">
        <v>0</v>
      </c>
      <c r="V166" s="1">
        <v>16711680</v>
      </c>
      <c r="W166" s="1" t="s">
        <v>15</v>
      </c>
    </row>
    <row r="167" spans="1:23" hidden="1">
      <c r="A167">
        <v>158</v>
      </c>
      <c r="B167" s="1">
        <v>3</v>
      </c>
      <c r="C167" s="1">
        <v>1</v>
      </c>
      <c r="D167" s="1">
        <v>0</v>
      </c>
      <c r="E167" s="1">
        <v>2</v>
      </c>
      <c r="F167">
        <f t="shared" si="11"/>
        <v>0</v>
      </c>
      <c r="G167" t="str">
        <f t="shared" si="12"/>
        <v>FF</v>
      </c>
      <c r="H167">
        <f t="shared" si="13"/>
        <v>0</v>
      </c>
      <c r="I167">
        <f t="shared" si="14"/>
        <v>255</v>
      </c>
      <c r="J167" t="str">
        <f t="shared" si="15"/>
        <v>7F</v>
      </c>
      <c r="N167" s="1">
        <v>163</v>
      </c>
      <c r="O167" s="1">
        <v>3</v>
      </c>
      <c r="P167" s="1">
        <v>2</v>
      </c>
      <c r="Q167" s="1">
        <v>0</v>
      </c>
      <c r="R167" s="1">
        <v>2</v>
      </c>
      <c r="S167" s="1">
        <v>0</v>
      </c>
      <c r="T167" s="1" t="s">
        <v>22</v>
      </c>
      <c r="U167" s="1">
        <v>0</v>
      </c>
      <c r="V167" s="1">
        <v>16711680</v>
      </c>
      <c r="W167" s="1" t="s">
        <v>15</v>
      </c>
    </row>
    <row r="168" spans="1:23" hidden="1">
      <c r="A168">
        <v>159</v>
      </c>
      <c r="B168" s="1">
        <v>4</v>
      </c>
      <c r="C168" s="1">
        <v>1</v>
      </c>
      <c r="D168" s="1">
        <v>0</v>
      </c>
      <c r="E168" s="1">
        <v>2</v>
      </c>
      <c r="F168">
        <f t="shared" si="11"/>
        <v>0</v>
      </c>
      <c r="G168" t="str">
        <f t="shared" si="12"/>
        <v>FF</v>
      </c>
      <c r="H168">
        <f t="shared" si="13"/>
        <v>0</v>
      </c>
      <c r="I168">
        <f t="shared" si="14"/>
        <v>255</v>
      </c>
      <c r="J168" t="str">
        <f t="shared" si="15"/>
        <v>7F</v>
      </c>
      <c r="N168" s="1">
        <v>164</v>
      </c>
      <c r="O168" s="1">
        <v>4</v>
      </c>
      <c r="P168" s="1">
        <v>2</v>
      </c>
      <c r="Q168" s="1">
        <v>0</v>
      </c>
      <c r="R168" s="1">
        <v>2</v>
      </c>
      <c r="S168" s="1">
        <v>0</v>
      </c>
      <c r="T168" s="1" t="s">
        <v>22</v>
      </c>
      <c r="U168" s="1">
        <v>0</v>
      </c>
      <c r="V168" s="1">
        <v>16711680</v>
      </c>
      <c r="W168" s="1" t="s">
        <v>15</v>
      </c>
    </row>
    <row r="169" spans="1:23" hidden="1">
      <c r="A169">
        <v>160</v>
      </c>
      <c r="B169" s="1">
        <v>0</v>
      </c>
      <c r="C169" s="1">
        <v>2</v>
      </c>
      <c r="D169" s="1">
        <v>0</v>
      </c>
      <c r="E169" s="1">
        <v>2</v>
      </c>
      <c r="F169">
        <f t="shared" si="11"/>
        <v>0</v>
      </c>
      <c r="G169" t="str">
        <f t="shared" si="12"/>
        <v>FF0000</v>
      </c>
      <c r="H169">
        <f t="shared" si="13"/>
        <v>0</v>
      </c>
      <c r="I169">
        <f t="shared" si="14"/>
        <v>16711680</v>
      </c>
      <c r="J169" t="str">
        <f t="shared" si="15"/>
        <v>7F8000</v>
      </c>
      <c r="N169" s="1">
        <v>185</v>
      </c>
      <c r="O169" s="1">
        <v>0</v>
      </c>
      <c r="P169" s="1">
        <v>2</v>
      </c>
      <c r="Q169" s="1">
        <v>1</v>
      </c>
      <c r="R169" s="1">
        <v>2</v>
      </c>
      <c r="S169" s="1" t="s">
        <v>12</v>
      </c>
      <c r="T169" s="1" t="s">
        <v>22</v>
      </c>
      <c r="U169" s="1">
        <v>0</v>
      </c>
      <c r="V169" s="1">
        <v>16711680</v>
      </c>
      <c r="W169" s="1" t="s">
        <v>15</v>
      </c>
    </row>
    <row r="170" spans="1:23" hidden="1">
      <c r="A170">
        <v>161</v>
      </c>
      <c r="B170" s="1">
        <v>1</v>
      </c>
      <c r="C170" s="1">
        <v>2</v>
      </c>
      <c r="D170" s="1">
        <v>0</v>
      </c>
      <c r="E170" s="1">
        <v>2</v>
      </c>
      <c r="F170">
        <f t="shared" si="11"/>
        <v>0</v>
      </c>
      <c r="G170" t="str">
        <f t="shared" si="12"/>
        <v>FF0000</v>
      </c>
      <c r="H170">
        <f t="shared" si="13"/>
        <v>0</v>
      </c>
      <c r="I170">
        <f t="shared" si="14"/>
        <v>16711680</v>
      </c>
      <c r="J170" t="str">
        <f t="shared" si="15"/>
        <v>7F8000</v>
      </c>
      <c r="N170" s="1">
        <v>202</v>
      </c>
      <c r="O170" s="1">
        <v>2</v>
      </c>
      <c r="P170" s="1">
        <v>0</v>
      </c>
      <c r="Q170" s="1">
        <v>2</v>
      </c>
      <c r="R170" s="1">
        <v>2</v>
      </c>
      <c r="S170" s="1" t="s">
        <v>22</v>
      </c>
      <c r="T170" s="1" t="s">
        <v>12</v>
      </c>
      <c r="U170" s="1">
        <v>16711680</v>
      </c>
      <c r="V170" s="1">
        <v>0</v>
      </c>
      <c r="W170" s="1" t="s">
        <v>15</v>
      </c>
    </row>
    <row r="171" spans="1:23" hidden="1">
      <c r="A171">
        <v>162</v>
      </c>
      <c r="B171" s="1">
        <v>2</v>
      </c>
      <c r="C171" s="1">
        <v>2</v>
      </c>
      <c r="D171" s="1">
        <v>0</v>
      </c>
      <c r="E171" s="1">
        <v>2</v>
      </c>
      <c r="F171">
        <f t="shared" si="11"/>
        <v>0</v>
      </c>
      <c r="G171" t="str">
        <f t="shared" si="12"/>
        <v>FF0000</v>
      </c>
      <c r="H171">
        <f t="shared" si="13"/>
        <v>0</v>
      </c>
      <c r="I171">
        <f t="shared" si="14"/>
        <v>16711680</v>
      </c>
      <c r="J171" t="str">
        <f t="shared" si="15"/>
        <v>7F8000</v>
      </c>
      <c r="N171" s="1">
        <v>210</v>
      </c>
      <c r="O171" s="1">
        <v>0</v>
      </c>
      <c r="P171" s="1">
        <v>2</v>
      </c>
      <c r="Q171" s="1">
        <v>2</v>
      </c>
      <c r="R171" s="1">
        <v>2</v>
      </c>
      <c r="S171" s="1" t="s">
        <v>12</v>
      </c>
      <c r="T171" s="1" t="s">
        <v>22</v>
      </c>
      <c r="U171" s="1">
        <v>0</v>
      </c>
      <c r="V171" s="1">
        <v>16711680</v>
      </c>
      <c r="W171" s="1" t="s">
        <v>15</v>
      </c>
    </row>
    <row r="172" spans="1:23" hidden="1">
      <c r="A172">
        <v>163</v>
      </c>
      <c r="B172" s="1">
        <v>3</v>
      </c>
      <c r="C172" s="1">
        <v>2</v>
      </c>
      <c r="D172" s="1">
        <v>0</v>
      </c>
      <c r="E172" s="1">
        <v>2</v>
      </c>
      <c r="F172">
        <f t="shared" si="11"/>
        <v>0</v>
      </c>
      <c r="G172" t="str">
        <f t="shared" si="12"/>
        <v>FF0000</v>
      </c>
      <c r="H172">
        <f t="shared" si="13"/>
        <v>0</v>
      </c>
      <c r="I172">
        <f t="shared" si="14"/>
        <v>16711680</v>
      </c>
      <c r="J172" t="str">
        <f t="shared" si="15"/>
        <v>7F8000</v>
      </c>
      <c r="N172" s="1">
        <v>113</v>
      </c>
      <c r="O172" s="1">
        <v>3</v>
      </c>
      <c r="P172" s="1">
        <v>2</v>
      </c>
      <c r="Q172" s="1">
        <v>1</v>
      </c>
      <c r="R172" s="1">
        <v>1</v>
      </c>
      <c r="S172" s="1" t="s">
        <v>17</v>
      </c>
      <c r="T172" s="1" t="s">
        <v>15</v>
      </c>
      <c r="U172" s="1">
        <v>8355967</v>
      </c>
      <c r="V172" s="1">
        <v>8355840</v>
      </c>
      <c r="W172" s="1" t="s">
        <v>27</v>
      </c>
    </row>
    <row r="173" spans="1:23" hidden="1">
      <c r="A173">
        <v>164</v>
      </c>
      <c r="B173" s="1">
        <v>4</v>
      </c>
      <c r="C173" s="1">
        <v>2</v>
      </c>
      <c r="D173" s="1">
        <v>0</v>
      </c>
      <c r="E173" s="1">
        <v>2</v>
      </c>
      <c r="F173">
        <f t="shared" si="11"/>
        <v>0</v>
      </c>
      <c r="G173" t="str">
        <f t="shared" si="12"/>
        <v>FF0000</v>
      </c>
      <c r="H173">
        <f t="shared" si="13"/>
        <v>0</v>
      </c>
      <c r="I173">
        <f t="shared" si="14"/>
        <v>16711680</v>
      </c>
      <c r="J173" t="str">
        <f t="shared" si="15"/>
        <v>7F8000</v>
      </c>
      <c r="N173" s="1">
        <v>117</v>
      </c>
      <c r="O173" s="1">
        <v>2</v>
      </c>
      <c r="P173" s="1">
        <v>3</v>
      </c>
      <c r="Q173" s="1">
        <v>1</v>
      </c>
      <c r="R173" s="1">
        <v>1</v>
      </c>
      <c r="S173" s="1" t="s">
        <v>15</v>
      </c>
      <c r="T173" s="1" t="s">
        <v>17</v>
      </c>
      <c r="U173" s="1">
        <v>8355840</v>
      </c>
      <c r="V173" s="1">
        <v>8355967</v>
      </c>
      <c r="W173" s="1" t="s">
        <v>27</v>
      </c>
    </row>
    <row r="174" spans="1:23" hidden="1">
      <c r="A174">
        <v>165</v>
      </c>
      <c r="B174" s="1">
        <v>0</v>
      </c>
      <c r="C174" s="1">
        <v>3</v>
      </c>
      <c r="D174" s="1">
        <v>0</v>
      </c>
      <c r="E174" s="1">
        <v>2</v>
      </c>
      <c r="F174">
        <f t="shared" si="11"/>
        <v>0</v>
      </c>
      <c r="G174" t="str">
        <f t="shared" si="12"/>
        <v>FF00FF</v>
      </c>
      <c r="H174">
        <f t="shared" si="13"/>
        <v>0</v>
      </c>
      <c r="I174">
        <f t="shared" si="14"/>
        <v>16711935</v>
      </c>
      <c r="J174" t="str">
        <f t="shared" si="15"/>
        <v>7F807F</v>
      </c>
      <c r="N174" s="1">
        <v>132</v>
      </c>
      <c r="O174" s="1">
        <v>2</v>
      </c>
      <c r="P174" s="1">
        <v>1</v>
      </c>
      <c r="Q174" s="1">
        <v>2</v>
      </c>
      <c r="R174" s="1">
        <v>1</v>
      </c>
      <c r="S174" s="1" t="s">
        <v>22</v>
      </c>
      <c r="T174" s="1" t="s">
        <v>13</v>
      </c>
      <c r="U174" s="1">
        <v>16711680</v>
      </c>
      <c r="V174" s="1">
        <v>127</v>
      </c>
      <c r="W174" s="1" t="s">
        <v>27</v>
      </c>
    </row>
    <row r="175" spans="1:23" hidden="1">
      <c r="A175">
        <v>166</v>
      </c>
      <c r="B175" s="1">
        <v>1</v>
      </c>
      <c r="C175" s="1">
        <v>3</v>
      </c>
      <c r="D175" s="1">
        <v>0</v>
      </c>
      <c r="E175" s="1">
        <v>2</v>
      </c>
      <c r="F175">
        <f t="shared" si="11"/>
        <v>0</v>
      </c>
      <c r="G175" t="str">
        <f t="shared" si="12"/>
        <v>FF00FF</v>
      </c>
      <c r="H175">
        <f t="shared" si="13"/>
        <v>0</v>
      </c>
      <c r="I175">
        <f t="shared" si="14"/>
        <v>16711935</v>
      </c>
      <c r="J175" t="str">
        <f t="shared" si="15"/>
        <v>7F807F</v>
      </c>
      <c r="N175" s="1">
        <v>186</v>
      </c>
      <c r="O175" s="1">
        <v>1</v>
      </c>
      <c r="P175" s="1">
        <v>2</v>
      </c>
      <c r="Q175" s="1">
        <v>1</v>
      </c>
      <c r="R175" s="1">
        <v>2</v>
      </c>
      <c r="S175" s="1" t="s">
        <v>13</v>
      </c>
      <c r="T175" s="1" t="s">
        <v>22</v>
      </c>
      <c r="U175" s="1">
        <v>127</v>
      </c>
      <c r="V175" s="1">
        <v>16711680</v>
      </c>
      <c r="W175" s="1" t="s">
        <v>27</v>
      </c>
    </row>
    <row r="176" spans="1:23" hidden="1">
      <c r="A176">
        <v>167</v>
      </c>
      <c r="B176" s="1">
        <v>2</v>
      </c>
      <c r="C176" s="1">
        <v>3</v>
      </c>
      <c r="D176" s="1">
        <v>0</v>
      </c>
      <c r="E176" s="1">
        <v>2</v>
      </c>
      <c r="F176">
        <f t="shared" si="11"/>
        <v>0</v>
      </c>
      <c r="G176" t="str">
        <f t="shared" si="12"/>
        <v>FF00FF</v>
      </c>
      <c r="H176">
        <f t="shared" si="13"/>
        <v>0</v>
      </c>
      <c r="I176">
        <f t="shared" si="14"/>
        <v>16711935</v>
      </c>
      <c r="J176" t="str">
        <f t="shared" si="15"/>
        <v>7F807F</v>
      </c>
      <c r="N176" s="1">
        <v>53</v>
      </c>
      <c r="O176" s="1">
        <v>3</v>
      </c>
      <c r="P176" s="1">
        <v>0</v>
      </c>
      <c r="Q176" s="1">
        <v>2</v>
      </c>
      <c r="R176" s="1">
        <v>0</v>
      </c>
      <c r="S176" s="1" t="s">
        <v>23</v>
      </c>
      <c r="T176" s="1">
        <v>0</v>
      </c>
      <c r="U176" s="1">
        <v>16711935</v>
      </c>
      <c r="V176" s="1">
        <v>0</v>
      </c>
      <c r="W176" s="1" t="s">
        <v>17</v>
      </c>
    </row>
    <row r="177" spans="1:23" hidden="1">
      <c r="A177">
        <v>168</v>
      </c>
      <c r="B177" s="1">
        <v>3</v>
      </c>
      <c r="C177" s="1">
        <v>3</v>
      </c>
      <c r="D177" s="1">
        <v>0</v>
      </c>
      <c r="E177" s="1">
        <v>2</v>
      </c>
      <c r="F177">
        <f t="shared" si="11"/>
        <v>0</v>
      </c>
      <c r="G177" t="str">
        <f t="shared" si="12"/>
        <v>FF00FF</v>
      </c>
      <c r="H177">
        <f t="shared" si="13"/>
        <v>0</v>
      </c>
      <c r="I177">
        <f t="shared" si="14"/>
        <v>16711935</v>
      </c>
      <c r="J177" t="str">
        <f t="shared" si="15"/>
        <v>7F807F</v>
      </c>
      <c r="N177" s="1">
        <v>58</v>
      </c>
      <c r="O177" s="1">
        <v>3</v>
      </c>
      <c r="P177" s="1">
        <v>1</v>
      </c>
      <c r="Q177" s="1">
        <v>2</v>
      </c>
      <c r="R177" s="1">
        <v>0</v>
      </c>
      <c r="S177" s="1" t="s">
        <v>23</v>
      </c>
      <c r="T177" s="1">
        <v>0</v>
      </c>
      <c r="U177" s="1">
        <v>16711935</v>
      </c>
      <c r="V177" s="1">
        <v>0</v>
      </c>
      <c r="W177" s="1" t="s">
        <v>17</v>
      </c>
    </row>
    <row r="178" spans="1:23" hidden="1">
      <c r="A178">
        <v>169</v>
      </c>
      <c r="B178" s="1">
        <v>4</v>
      </c>
      <c r="C178" s="1">
        <v>3</v>
      </c>
      <c r="D178" s="1">
        <v>0</v>
      </c>
      <c r="E178" s="1">
        <v>2</v>
      </c>
      <c r="F178">
        <f t="shared" si="11"/>
        <v>0</v>
      </c>
      <c r="G178" t="str">
        <f t="shared" si="12"/>
        <v>FF00FF</v>
      </c>
      <c r="H178">
        <f t="shared" si="13"/>
        <v>0</v>
      </c>
      <c r="I178">
        <f t="shared" si="14"/>
        <v>16711935</v>
      </c>
      <c r="J178" t="str">
        <f t="shared" si="15"/>
        <v>7F807F</v>
      </c>
      <c r="N178" s="1">
        <v>63</v>
      </c>
      <c r="O178" s="1">
        <v>3</v>
      </c>
      <c r="P178" s="1">
        <v>2</v>
      </c>
      <c r="Q178" s="1">
        <v>2</v>
      </c>
      <c r="R178" s="1">
        <v>0</v>
      </c>
      <c r="S178" s="1" t="s">
        <v>23</v>
      </c>
      <c r="T178" s="1">
        <v>0</v>
      </c>
      <c r="U178" s="1">
        <v>16711935</v>
      </c>
      <c r="V178" s="1">
        <v>0</v>
      </c>
      <c r="W178" s="1" t="s">
        <v>17</v>
      </c>
    </row>
    <row r="179" spans="1:23" hidden="1">
      <c r="A179">
        <v>170</v>
      </c>
      <c r="B179" s="1">
        <v>0</v>
      </c>
      <c r="C179" s="1">
        <v>4</v>
      </c>
      <c r="D179" s="1">
        <v>0</v>
      </c>
      <c r="E179" s="1">
        <v>2</v>
      </c>
      <c r="F179">
        <f t="shared" si="11"/>
        <v>0</v>
      </c>
      <c r="G179" t="str">
        <f t="shared" si="12"/>
        <v>FF00</v>
      </c>
      <c r="H179">
        <f t="shared" si="13"/>
        <v>0</v>
      </c>
      <c r="I179">
        <f t="shared" si="14"/>
        <v>65280</v>
      </c>
      <c r="J179" t="str">
        <f t="shared" si="15"/>
        <v>7F80</v>
      </c>
      <c r="N179" s="1">
        <v>68</v>
      </c>
      <c r="O179" s="1">
        <v>3</v>
      </c>
      <c r="P179" s="1">
        <v>3</v>
      </c>
      <c r="Q179" s="1">
        <v>2</v>
      </c>
      <c r="R179" s="1">
        <v>0</v>
      </c>
      <c r="S179" s="1" t="s">
        <v>23</v>
      </c>
      <c r="T179" s="1">
        <v>0</v>
      </c>
      <c r="U179" s="1">
        <v>16711935</v>
      </c>
      <c r="V179" s="1">
        <v>0</v>
      </c>
      <c r="W179" s="1" t="s">
        <v>17</v>
      </c>
    </row>
    <row r="180" spans="1:23" hidden="1">
      <c r="A180">
        <v>171</v>
      </c>
      <c r="B180" s="1">
        <v>1</v>
      </c>
      <c r="C180" s="1">
        <v>4</v>
      </c>
      <c r="D180" s="1">
        <v>0</v>
      </c>
      <c r="E180" s="1">
        <v>2</v>
      </c>
      <c r="F180">
        <f t="shared" si="11"/>
        <v>0</v>
      </c>
      <c r="G180" t="str">
        <f t="shared" si="12"/>
        <v>FF00</v>
      </c>
      <c r="H180">
        <f t="shared" si="13"/>
        <v>0</v>
      </c>
      <c r="I180">
        <f t="shared" si="14"/>
        <v>65280</v>
      </c>
      <c r="J180" t="str">
        <f t="shared" si="15"/>
        <v>7F80</v>
      </c>
      <c r="N180" s="1">
        <v>73</v>
      </c>
      <c r="O180" s="1">
        <v>3</v>
      </c>
      <c r="P180" s="1">
        <v>4</v>
      </c>
      <c r="Q180" s="1">
        <v>2</v>
      </c>
      <c r="R180" s="1">
        <v>0</v>
      </c>
      <c r="S180" s="1" t="s">
        <v>23</v>
      </c>
      <c r="T180" s="1">
        <v>0</v>
      </c>
      <c r="U180" s="1">
        <v>16711935</v>
      </c>
      <c r="V180" s="1">
        <v>0</v>
      </c>
      <c r="W180" s="1" t="s">
        <v>17</v>
      </c>
    </row>
    <row r="181" spans="1:23" hidden="1">
      <c r="A181">
        <v>172</v>
      </c>
      <c r="B181" s="1">
        <v>2</v>
      </c>
      <c r="C181" s="1">
        <v>4</v>
      </c>
      <c r="D181" s="1">
        <v>0</v>
      </c>
      <c r="E181" s="1">
        <v>2</v>
      </c>
      <c r="F181">
        <f t="shared" si="11"/>
        <v>0</v>
      </c>
      <c r="G181" t="str">
        <f t="shared" si="12"/>
        <v>FF00</v>
      </c>
      <c r="H181">
        <f t="shared" si="13"/>
        <v>0</v>
      </c>
      <c r="I181">
        <f t="shared" si="14"/>
        <v>65280</v>
      </c>
      <c r="J181" t="str">
        <f t="shared" si="15"/>
        <v>7F80</v>
      </c>
      <c r="N181" s="1">
        <v>118</v>
      </c>
      <c r="O181" s="1">
        <v>3</v>
      </c>
      <c r="P181" s="1">
        <v>3</v>
      </c>
      <c r="Q181" s="1">
        <v>1</v>
      </c>
      <c r="R181" s="1">
        <v>1</v>
      </c>
      <c r="S181" s="1" t="s">
        <v>17</v>
      </c>
      <c r="T181" s="1" t="s">
        <v>17</v>
      </c>
      <c r="U181" s="1">
        <v>8355967</v>
      </c>
      <c r="V181" s="1">
        <v>8355967</v>
      </c>
      <c r="W181" s="1" t="s">
        <v>17</v>
      </c>
    </row>
    <row r="182" spans="1:23" hidden="1">
      <c r="A182">
        <v>173</v>
      </c>
      <c r="B182" s="1">
        <v>3</v>
      </c>
      <c r="C182" s="1">
        <v>4</v>
      </c>
      <c r="D182" s="1">
        <v>0</v>
      </c>
      <c r="E182" s="1">
        <v>2</v>
      </c>
      <c r="F182">
        <f t="shared" si="11"/>
        <v>0</v>
      </c>
      <c r="G182" t="str">
        <f t="shared" si="12"/>
        <v>FF00</v>
      </c>
      <c r="H182">
        <f t="shared" si="13"/>
        <v>0</v>
      </c>
      <c r="I182">
        <f t="shared" si="14"/>
        <v>65280</v>
      </c>
      <c r="J182" t="str">
        <f t="shared" si="15"/>
        <v>7F80</v>
      </c>
      <c r="N182" s="1">
        <v>128</v>
      </c>
      <c r="O182" s="1">
        <v>3</v>
      </c>
      <c r="P182" s="1">
        <v>0</v>
      </c>
      <c r="Q182" s="1">
        <v>2</v>
      </c>
      <c r="R182" s="1">
        <v>1</v>
      </c>
      <c r="S182" s="1" t="s">
        <v>23</v>
      </c>
      <c r="T182" s="1" t="s">
        <v>12</v>
      </c>
      <c r="U182" s="1">
        <v>16711935</v>
      </c>
      <c r="V182" s="1">
        <v>0</v>
      </c>
      <c r="W182" s="1" t="s">
        <v>17</v>
      </c>
    </row>
    <row r="183" spans="1:23" hidden="1">
      <c r="A183">
        <v>174</v>
      </c>
      <c r="B183" s="1">
        <v>4</v>
      </c>
      <c r="C183" s="1">
        <v>4</v>
      </c>
      <c r="D183" s="1">
        <v>0</v>
      </c>
      <c r="E183" s="1">
        <v>2</v>
      </c>
      <c r="F183">
        <f t="shared" si="11"/>
        <v>0</v>
      </c>
      <c r="G183" t="str">
        <f t="shared" si="12"/>
        <v>FF00</v>
      </c>
      <c r="H183">
        <f t="shared" si="13"/>
        <v>0</v>
      </c>
      <c r="I183">
        <f t="shared" si="14"/>
        <v>65280</v>
      </c>
      <c r="J183" t="str">
        <f t="shared" si="15"/>
        <v>7F80</v>
      </c>
      <c r="N183" s="1">
        <v>165</v>
      </c>
      <c r="O183" s="1">
        <v>0</v>
      </c>
      <c r="P183" s="1">
        <v>3</v>
      </c>
      <c r="Q183" s="1">
        <v>0</v>
      </c>
      <c r="R183" s="1">
        <v>2</v>
      </c>
      <c r="S183" s="1">
        <v>0</v>
      </c>
      <c r="T183" s="1" t="s">
        <v>23</v>
      </c>
      <c r="U183" s="1">
        <v>0</v>
      </c>
      <c r="V183" s="1">
        <v>16711935</v>
      </c>
      <c r="W183" s="1" t="s">
        <v>17</v>
      </c>
    </row>
    <row r="184" spans="1:23" hidden="1">
      <c r="A184">
        <v>175</v>
      </c>
      <c r="B184" s="1">
        <v>0</v>
      </c>
      <c r="C184" s="1">
        <v>0</v>
      </c>
      <c r="D184" s="1">
        <v>1</v>
      </c>
      <c r="E184" s="1">
        <v>2</v>
      </c>
      <c r="F184" t="str">
        <f t="shared" si="11"/>
        <v>0</v>
      </c>
      <c r="G184" t="str">
        <f t="shared" si="12"/>
        <v>0</v>
      </c>
      <c r="H184">
        <f t="shared" si="13"/>
        <v>0</v>
      </c>
      <c r="I184">
        <f t="shared" si="14"/>
        <v>0</v>
      </c>
      <c r="J184" t="str">
        <f t="shared" si="15"/>
        <v>0</v>
      </c>
      <c r="N184" s="1">
        <v>166</v>
      </c>
      <c r="O184" s="1">
        <v>1</v>
      </c>
      <c r="P184" s="1">
        <v>3</v>
      </c>
      <c r="Q184" s="1">
        <v>0</v>
      </c>
      <c r="R184" s="1">
        <v>2</v>
      </c>
      <c r="S184" s="1">
        <v>0</v>
      </c>
      <c r="T184" s="1" t="s">
        <v>23</v>
      </c>
      <c r="U184" s="1">
        <v>0</v>
      </c>
      <c r="V184" s="1">
        <v>16711935</v>
      </c>
      <c r="W184" s="1" t="s">
        <v>17</v>
      </c>
    </row>
    <row r="185" spans="1:23" hidden="1">
      <c r="A185">
        <v>176</v>
      </c>
      <c r="B185" s="1">
        <v>1</v>
      </c>
      <c r="C185" s="1">
        <v>0</v>
      </c>
      <c r="D185" s="1">
        <v>1</v>
      </c>
      <c r="E185" s="1">
        <v>2</v>
      </c>
      <c r="F185" t="str">
        <f t="shared" si="11"/>
        <v>7F</v>
      </c>
      <c r="G185" t="str">
        <f t="shared" si="12"/>
        <v>0</v>
      </c>
      <c r="H185">
        <f t="shared" si="13"/>
        <v>127</v>
      </c>
      <c r="I185">
        <f t="shared" si="14"/>
        <v>0</v>
      </c>
      <c r="J185" t="str">
        <f t="shared" si="15"/>
        <v>3F</v>
      </c>
      <c r="N185" s="1">
        <v>167</v>
      </c>
      <c r="O185" s="1">
        <v>2</v>
      </c>
      <c r="P185" s="1">
        <v>3</v>
      </c>
      <c r="Q185" s="1">
        <v>0</v>
      </c>
      <c r="R185" s="1">
        <v>2</v>
      </c>
      <c r="S185" s="1">
        <v>0</v>
      </c>
      <c r="T185" s="1" t="s">
        <v>23</v>
      </c>
      <c r="U185" s="1">
        <v>0</v>
      </c>
      <c r="V185" s="1">
        <v>16711935</v>
      </c>
      <c r="W185" s="1" t="s">
        <v>17</v>
      </c>
    </row>
    <row r="186" spans="1:23" hidden="1">
      <c r="A186">
        <v>177</v>
      </c>
      <c r="B186" s="1">
        <v>2</v>
      </c>
      <c r="C186" s="1">
        <v>0</v>
      </c>
      <c r="D186" s="1">
        <v>1</v>
      </c>
      <c r="E186" s="1">
        <v>2</v>
      </c>
      <c r="F186" t="str">
        <f t="shared" si="11"/>
        <v>7F8000</v>
      </c>
      <c r="G186" t="str">
        <f t="shared" si="12"/>
        <v>0</v>
      </c>
      <c r="H186">
        <f t="shared" si="13"/>
        <v>8355840</v>
      </c>
      <c r="I186">
        <f t="shared" si="14"/>
        <v>0</v>
      </c>
      <c r="J186" t="str">
        <f t="shared" si="15"/>
        <v>3FC000</v>
      </c>
      <c r="N186" s="1">
        <v>168</v>
      </c>
      <c r="O186" s="1">
        <v>3</v>
      </c>
      <c r="P186" s="1">
        <v>3</v>
      </c>
      <c r="Q186" s="1">
        <v>0</v>
      </c>
      <c r="R186" s="1">
        <v>2</v>
      </c>
      <c r="S186" s="1">
        <v>0</v>
      </c>
      <c r="T186" s="1" t="s">
        <v>23</v>
      </c>
      <c r="U186" s="1">
        <v>0</v>
      </c>
      <c r="V186" s="1">
        <v>16711935</v>
      </c>
      <c r="W186" s="1" t="s">
        <v>17</v>
      </c>
    </row>
    <row r="187" spans="1:23" hidden="1">
      <c r="A187">
        <v>178</v>
      </c>
      <c r="B187" s="1">
        <v>3</v>
      </c>
      <c r="C187" s="1">
        <v>0</v>
      </c>
      <c r="D187" s="1">
        <v>1</v>
      </c>
      <c r="E187" s="1">
        <v>2</v>
      </c>
      <c r="F187" t="str">
        <f t="shared" si="11"/>
        <v>7F807F</v>
      </c>
      <c r="G187" t="str">
        <f t="shared" si="12"/>
        <v>0</v>
      </c>
      <c r="H187">
        <f t="shared" si="13"/>
        <v>8355967</v>
      </c>
      <c r="I187">
        <f t="shared" si="14"/>
        <v>0</v>
      </c>
      <c r="J187" t="str">
        <f t="shared" si="15"/>
        <v>3FC03F</v>
      </c>
      <c r="N187" s="1">
        <v>169</v>
      </c>
      <c r="O187" s="1">
        <v>4</v>
      </c>
      <c r="P187" s="1">
        <v>3</v>
      </c>
      <c r="Q187" s="1">
        <v>0</v>
      </c>
      <c r="R187" s="1">
        <v>2</v>
      </c>
      <c r="S187" s="1">
        <v>0</v>
      </c>
      <c r="T187" s="1" t="s">
        <v>23</v>
      </c>
      <c r="U187" s="1">
        <v>0</v>
      </c>
      <c r="V187" s="1">
        <v>16711935</v>
      </c>
      <c r="W187" s="1" t="s">
        <v>17</v>
      </c>
    </row>
    <row r="188" spans="1:23" hidden="1">
      <c r="A188">
        <v>179</v>
      </c>
      <c r="B188" s="1">
        <v>4</v>
      </c>
      <c r="C188" s="1">
        <v>0</v>
      </c>
      <c r="D188" s="1">
        <v>1</v>
      </c>
      <c r="E188" s="1">
        <v>2</v>
      </c>
      <c r="F188" t="str">
        <f t="shared" si="11"/>
        <v>7F80</v>
      </c>
      <c r="G188" t="str">
        <f t="shared" si="12"/>
        <v>0</v>
      </c>
      <c r="H188">
        <f t="shared" si="13"/>
        <v>32640</v>
      </c>
      <c r="I188">
        <f t="shared" si="14"/>
        <v>0</v>
      </c>
      <c r="J188" t="str">
        <f t="shared" si="15"/>
        <v>3FC0</v>
      </c>
      <c r="N188" s="1">
        <v>190</v>
      </c>
      <c r="O188" s="1">
        <v>0</v>
      </c>
      <c r="P188" s="1">
        <v>3</v>
      </c>
      <c r="Q188" s="1">
        <v>1</v>
      </c>
      <c r="R188" s="1">
        <v>2</v>
      </c>
      <c r="S188" s="1" t="s">
        <v>12</v>
      </c>
      <c r="T188" s="1" t="s">
        <v>23</v>
      </c>
      <c r="U188" s="1">
        <v>0</v>
      </c>
      <c r="V188" s="1">
        <v>16711935</v>
      </c>
      <c r="W188" s="1" t="s">
        <v>17</v>
      </c>
    </row>
    <row r="189" spans="1:23" hidden="1">
      <c r="A189">
        <v>180</v>
      </c>
      <c r="B189" s="1">
        <v>0</v>
      </c>
      <c r="C189" s="1">
        <v>1</v>
      </c>
      <c r="D189" s="1">
        <v>1</v>
      </c>
      <c r="E189" s="1">
        <v>2</v>
      </c>
      <c r="F189" t="str">
        <f t="shared" si="11"/>
        <v>0</v>
      </c>
      <c r="G189" t="str">
        <f t="shared" si="12"/>
        <v>FF</v>
      </c>
      <c r="H189">
        <f t="shared" si="13"/>
        <v>0</v>
      </c>
      <c r="I189">
        <f t="shared" si="14"/>
        <v>255</v>
      </c>
      <c r="J189" t="str">
        <f t="shared" si="15"/>
        <v>7F</v>
      </c>
      <c r="N189" s="1">
        <v>203</v>
      </c>
      <c r="O189" s="1">
        <v>3</v>
      </c>
      <c r="P189" s="1">
        <v>0</v>
      </c>
      <c r="Q189" s="1">
        <v>2</v>
      </c>
      <c r="R189" s="1">
        <v>2</v>
      </c>
      <c r="S189" s="1" t="s">
        <v>23</v>
      </c>
      <c r="T189" s="1" t="s">
        <v>12</v>
      </c>
      <c r="U189" s="1">
        <v>16711935</v>
      </c>
      <c r="V189" s="1">
        <v>0</v>
      </c>
      <c r="W189" s="1" t="s">
        <v>17</v>
      </c>
    </row>
    <row r="190" spans="1:23" hidden="1">
      <c r="A190">
        <v>181</v>
      </c>
      <c r="B190" s="1">
        <v>1</v>
      </c>
      <c r="C190" s="1">
        <v>1</v>
      </c>
      <c r="D190" s="1">
        <v>1</v>
      </c>
      <c r="E190" s="1">
        <v>2</v>
      </c>
      <c r="F190" t="str">
        <f t="shared" si="11"/>
        <v>7F</v>
      </c>
      <c r="G190" t="str">
        <f t="shared" si="12"/>
        <v>FF</v>
      </c>
      <c r="H190">
        <f t="shared" si="13"/>
        <v>127</v>
      </c>
      <c r="I190">
        <f t="shared" si="14"/>
        <v>255</v>
      </c>
      <c r="J190" t="str">
        <f t="shared" si="15"/>
        <v>BF</v>
      </c>
      <c r="N190" s="1">
        <v>207</v>
      </c>
      <c r="O190" s="1">
        <v>2</v>
      </c>
      <c r="P190" s="1">
        <v>1</v>
      </c>
      <c r="Q190" s="1">
        <v>2</v>
      </c>
      <c r="R190" s="1">
        <v>2</v>
      </c>
      <c r="S190" s="1" t="s">
        <v>22</v>
      </c>
      <c r="T190" s="1" t="s">
        <v>21</v>
      </c>
      <c r="U190" s="1">
        <v>16711680</v>
      </c>
      <c r="V190" s="1">
        <v>255</v>
      </c>
      <c r="W190" s="1" t="s">
        <v>17</v>
      </c>
    </row>
    <row r="191" spans="1:23" hidden="1">
      <c r="A191">
        <v>182</v>
      </c>
      <c r="B191" s="1">
        <v>2</v>
      </c>
      <c r="C191" s="1">
        <v>1</v>
      </c>
      <c r="D191" s="1">
        <v>1</v>
      </c>
      <c r="E191" s="1">
        <v>2</v>
      </c>
      <c r="F191" t="str">
        <f t="shared" si="11"/>
        <v>7F8000</v>
      </c>
      <c r="G191" t="str">
        <f t="shared" si="12"/>
        <v>FF</v>
      </c>
      <c r="H191">
        <f t="shared" si="13"/>
        <v>8355840</v>
      </c>
      <c r="I191">
        <f t="shared" si="14"/>
        <v>255</v>
      </c>
      <c r="J191" t="str">
        <f t="shared" si="15"/>
        <v>3FC07F</v>
      </c>
      <c r="N191" s="1">
        <v>211</v>
      </c>
      <c r="O191" s="1">
        <v>1</v>
      </c>
      <c r="P191" s="1">
        <v>2</v>
      </c>
      <c r="Q191" s="1">
        <v>2</v>
      </c>
      <c r="R191" s="1">
        <v>2</v>
      </c>
      <c r="S191" s="1" t="s">
        <v>21</v>
      </c>
      <c r="T191" s="1" t="s">
        <v>22</v>
      </c>
      <c r="U191" s="1">
        <v>255</v>
      </c>
      <c r="V191" s="1">
        <v>16711680</v>
      </c>
      <c r="W191" s="1" t="s">
        <v>17</v>
      </c>
    </row>
    <row r="192" spans="1:23" hidden="1">
      <c r="A192">
        <v>183</v>
      </c>
      <c r="B192" s="1">
        <v>3</v>
      </c>
      <c r="C192" s="1">
        <v>1</v>
      </c>
      <c r="D192" s="1">
        <v>1</v>
      </c>
      <c r="E192" s="1">
        <v>2</v>
      </c>
      <c r="F192" t="str">
        <f t="shared" si="11"/>
        <v>7F807F</v>
      </c>
      <c r="G192" t="str">
        <f t="shared" si="12"/>
        <v>FF</v>
      </c>
      <c r="H192">
        <f t="shared" si="13"/>
        <v>8355967</v>
      </c>
      <c r="I192">
        <f t="shared" si="14"/>
        <v>255</v>
      </c>
      <c r="J192" t="str">
        <f t="shared" si="15"/>
        <v>3FC0BF</v>
      </c>
      <c r="N192" s="1">
        <v>215</v>
      </c>
      <c r="O192" s="1">
        <v>0</v>
      </c>
      <c r="P192" s="1">
        <v>3</v>
      </c>
      <c r="Q192" s="1">
        <v>2</v>
      </c>
      <c r="R192" s="1">
        <v>2</v>
      </c>
      <c r="S192" s="1" t="s">
        <v>12</v>
      </c>
      <c r="T192" s="1" t="s">
        <v>23</v>
      </c>
      <c r="U192" s="1">
        <v>0</v>
      </c>
      <c r="V192" s="1">
        <v>16711935</v>
      </c>
      <c r="W192" s="1" t="s">
        <v>17</v>
      </c>
    </row>
    <row r="193" spans="1:23" hidden="1">
      <c r="A193">
        <v>184</v>
      </c>
      <c r="B193" s="1">
        <v>4</v>
      </c>
      <c r="C193" s="1">
        <v>1</v>
      </c>
      <c r="D193" s="1">
        <v>1</v>
      </c>
      <c r="E193" s="1">
        <v>2</v>
      </c>
      <c r="F193" t="str">
        <f t="shared" si="11"/>
        <v>7F80</v>
      </c>
      <c r="G193" t="str">
        <f t="shared" si="12"/>
        <v>FF</v>
      </c>
      <c r="H193">
        <f t="shared" si="13"/>
        <v>32640</v>
      </c>
      <c r="I193">
        <f t="shared" si="14"/>
        <v>255</v>
      </c>
      <c r="J193" t="str">
        <f t="shared" si="15"/>
        <v>403F</v>
      </c>
      <c r="N193" s="1">
        <v>133</v>
      </c>
      <c r="O193" s="1">
        <v>3</v>
      </c>
      <c r="P193" s="1">
        <v>1</v>
      </c>
      <c r="Q193" s="1">
        <v>2</v>
      </c>
      <c r="R193" s="1">
        <v>1</v>
      </c>
      <c r="S193" s="1" t="s">
        <v>23</v>
      </c>
      <c r="T193" s="1" t="s">
        <v>13</v>
      </c>
      <c r="U193" s="1">
        <v>16711935</v>
      </c>
      <c r="V193" s="1">
        <v>127</v>
      </c>
      <c r="W193" s="1" t="s">
        <v>31</v>
      </c>
    </row>
    <row r="194" spans="1:23" hidden="1">
      <c r="A194">
        <v>185</v>
      </c>
      <c r="B194" s="1">
        <v>0</v>
      </c>
      <c r="C194" s="1">
        <v>2</v>
      </c>
      <c r="D194" s="1">
        <v>1</v>
      </c>
      <c r="E194" s="1">
        <v>2</v>
      </c>
      <c r="F194" t="str">
        <f t="shared" si="11"/>
        <v>0</v>
      </c>
      <c r="G194" t="str">
        <f t="shared" si="12"/>
        <v>FF0000</v>
      </c>
      <c r="H194">
        <f t="shared" si="13"/>
        <v>0</v>
      </c>
      <c r="I194">
        <f t="shared" si="14"/>
        <v>16711680</v>
      </c>
      <c r="J194" t="str">
        <f t="shared" si="15"/>
        <v>7F8000</v>
      </c>
      <c r="N194" s="1">
        <v>191</v>
      </c>
      <c r="O194" s="1">
        <v>1</v>
      </c>
      <c r="P194" s="1">
        <v>3</v>
      </c>
      <c r="Q194" s="1">
        <v>1</v>
      </c>
      <c r="R194" s="1">
        <v>2</v>
      </c>
      <c r="S194" s="1" t="s">
        <v>13</v>
      </c>
      <c r="T194" s="1" t="s">
        <v>23</v>
      </c>
      <c r="U194" s="1">
        <v>127</v>
      </c>
      <c r="V194" s="1">
        <v>16711935</v>
      </c>
      <c r="W194" s="1" t="s">
        <v>31</v>
      </c>
    </row>
    <row r="195" spans="1:23" hidden="1">
      <c r="A195">
        <v>186</v>
      </c>
      <c r="B195" s="1">
        <v>1</v>
      </c>
      <c r="C195" s="1">
        <v>2</v>
      </c>
      <c r="D195" s="1">
        <v>1</v>
      </c>
      <c r="E195" s="1">
        <v>2</v>
      </c>
      <c r="F195" t="str">
        <f t="shared" si="11"/>
        <v>7F</v>
      </c>
      <c r="G195" t="str">
        <f t="shared" si="12"/>
        <v>FF0000</v>
      </c>
      <c r="H195">
        <f t="shared" si="13"/>
        <v>127</v>
      </c>
      <c r="I195">
        <f t="shared" si="14"/>
        <v>16711680</v>
      </c>
      <c r="J195" t="str">
        <f t="shared" si="15"/>
        <v>7F803F</v>
      </c>
      <c r="N195" s="1">
        <v>208</v>
      </c>
      <c r="O195" s="1">
        <v>3</v>
      </c>
      <c r="P195" s="1">
        <v>1</v>
      </c>
      <c r="Q195" s="1">
        <v>2</v>
      </c>
      <c r="R195" s="1">
        <v>2</v>
      </c>
      <c r="S195" s="1" t="s">
        <v>23</v>
      </c>
      <c r="T195" s="1" t="s">
        <v>21</v>
      </c>
      <c r="U195" s="1">
        <v>16711935</v>
      </c>
      <c r="V195" s="1">
        <v>255</v>
      </c>
      <c r="W195" s="1" t="s">
        <v>44</v>
      </c>
    </row>
    <row r="196" spans="1:23" hidden="1">
      <c r="A196">
        <v>187</v>
      </c>
      <c r="B196" s="1">
        <v>2</v>
      </c>
      <c r="C196" s="1">
        <v>2</v>
      </c>
      <c r="D196" s="1">
        <v>1</v>
      </c>
      <c r="E196" s="1">
        <v>2</v>
      </c>
      <c r="F196" t="str">
        <f t="shared" si="11"/>
        <v>7F8000</v>
      </c>
      <c r="G196" t="str">
        <f t="shared" si="12"/>
        <v>FF0000</v>
      </c>
      <c r="H196">
        <f t="shared" si="13"/>
        <v>8355840</v>
      </c>
      <c r="I196">
        <f t="shared" si="14"/>
        <v>16711680</v>
      </c>
      <c r="J196" t="str">
        <f t="shared" si="15"/>
        <v>BF4000</v>
      </c>
      <c r="N196" s="1">
        <v>216</v>
      </c>
      <c r="O196" s="1">
        <v>1</v>
      </c>
      <c r="P196" s="1">
        <v>3</v>
      </c>
      <c r="Q196" s="1">
        <v>2</v>
      </c>
      <c r="R196" s="1">
        <v>2</v>
      </c>
      <c r="S196" s="1" t="s">
        <v>21</v>
      </c>
      <c r="T196" s="1" t="s">
        <v>23</v>
      </c>
      <c r="U196" s="1">
        <v>255</v>
      </c>
      <c r="V196" s="1">
        <v>16711935</v>
      </c>
      <c r="W196" s="1" t="s">
        <v>44</v>
      </c>
    </row>
    <row r="197" spans="1:23">
      <c r="A197">
        <v>188</v>
      </c>
      <c r="B197" s="1">
        <v>3</v>
      </c>
      <c r="C197" s="1">
        <v>2</v>
      </c>
      <c r="D197" s="1">
        <v>1</v>
      </c>
      <c r="E197" s="1">
        <v>2</v>
      </c>
      <c r="F197" t="str">
        <f t="shared" si="11"/>
        <v>7F807F</v>
      </c>
      <c r="G197" t="str">
        <f t="shared" si="12"/>
        <v>FF0000</v>
      </c>
      <c r="H197">
        <f t="shared" si="13"/>
        <v>8355967</v>
      </c>
      <c r="I197">
        <f t="shared" si="14"/>
        <v>16711680</v>
      </c>
      <c r="J197" t="str">
        <f t="shared" si="15"/>
        <v>BF403F</v>
      </c>
      <c r="N197" s="1">
        <v>134</v>
      </c>
      <c r="O197" s="1">
        <v>4</v>
      </c>
      <c r="P197" s="1">
        <v>1</v>
      </c>
      <c r="Q197" s="1">
        <v>2</v>
      </c>
      <c r="R197" s="1">
        <v>1</v>
      </c>
      <c r="S197" s="1" t="s">
        <v>24</v>
      </c>
      <c r="T197" s="1" t="s">
        <v>13</v>
      </c>
      <c r="U197" s="1">
        <v>65280</v>
      </c>
      <c r="V197" s="1">
        <v>127</v>
      </c>
      <c r="W197" s="1" t="s">
        <v>32</v>
      </c>
    </row>
    <row r="198" spans="1:23" hidden="1">
      <c r="A198">
        <v>189</v>
      </c>
      <c r="B198" s="1">
        <v>4</v>
      </c>
      <c r="C198" s="1">
        <v>2</v>
      </c>
      <c r="D198" s="1">
        <v>1</v>
      </c>
      <c r="E198" s="1">
        <v>2</v>
      </c>
      <c r="F198" t="str">
        <f t="shared" si="11"/>
        <v>7F80</v>
      </c>
      <c r="G198" t="str">
        <f t="shared" si="12"/>
        <v>FF0000</v>
      </c>
      <c r="H198">
        <f t="shared" si="13"/>
        <v>32640</v>
      </c>
      <c r="I198">
        <f t="shared" si="14"/>
        <v>16711680</v>
      </c>
      <c r="J198" t="str">
        <f t="shared" si="15"/>
        <v>7FBFC0</v>
      </c>
      <c r="N198" s="1">
        <v>196</v>
      </c>
      <c r="O198" s="1">
        <v>1</v>
      </c>
      <c r="P198" s="1">
        <v>4</v>
      </c>
      <c r="Q198" s="1">
        <v>1</v>
      </c>
      <c r="R198" s="1">
        <v>2</v>
      </c>
      <c r="S198" s="1" t="s">
        <v>13</v>
      </c>
      <c r="T198" s="1" t="s">
        <v>24</v>
      </c>
      <c r="U198" s="1">
        <v>127</v>
      </c>
      <c r="V198" s="1">
        <v>65280</v>
      </c>
      <c r="W198" s="1" t="s">
        <v>32</v>
      </c>
    </row>
    <row r="199" spans="1:23" hidden="1">
      <c r="A199">
        <v>190</v>
      </c>
      <c r="B199" s="1">
        <v>0</v>
      </c>
      <c r="C199" s="1">
        <v>3</v>
      </c>
      <c r="D199" s="1">
        <v>1</v>
      </c>
      <c r="E199" s="1">
        <v>2</v>
      </c>
      <c r="F199" t="str">
        <f t="shared" si="11"/>
        <v>0</v>
      </c>
      <c r="G199" t="str">
        <f t="shared" si="12"/>
        <v>FF00FF</v>
      </c>
      <c r="H199">
        <f t="shared" si="13"/>
        <v>0</v>
      </c>
      <c r="I199">
        <f t="shared" si="14"/>
        <v>16711935</v>
      </c>
      <c r="J199" t="str">
        <f t="shared" si="15"/>
        <v>7F807F</v>
      </c>
      <c r="N199" s="1">
        <v>147</v>
      </c>
      <c r="O199" s="1">
        <v>2</v>
      </c>
      <c r="P199" s="1">
        <v>4</v>
      </c>
      <c r="Q199" s="1">
        <v>2</v>
      </c>
      <c r="R199" s="1">
        <v>1</v>
      </c>
      <c r="S199" s="1" t="s">
        <v>22</v>
      </c>
      <c r="T199" s="1" t="s">
        <v>19</v>
      </c>
      <c r="U199" s="1">
        <v>16711680</v>
      </c>
      <c r="V199" s="1">
        <v>32640</v>
      </c>
      <c r="W199" s="1" t="s">
        <v>41</v>
      </c>
    </row>
    <row r="200" spans="1:23" hidden="1">
      <c r="A200">
        <v>191</v>
      </c>
      <c r="B200" s="1">
        <v>1</v>
      </c>
      <c r="C200" s="1">
        <v>3</v>
      </c>
      <c r="D200" s="1">
        <v>1</v>
      </c>
      <c r="E200" s="1">
        <v>2</v>
      </c>
      <c r="F200" t="str">
        <f t="shared" si="11"/>
        <v>7F</v>
      </c>
      <c r="G200" t="str">
        <f t="shared" si="12"/>
        <v>FF00FF</v>
      </c>
      <c r="H200">
        <f t="shared" si="13"/>
        <v>127</v>
      </c>
      <c r="I200">
        <f t="shared" si="14"/>
        <v>16711935</v>
      </c>
      <c r="J200" t="str">
        <f t="shared" si="15"/>
        <v>7F80BF</v>
      </c>
      <c r="N200" s="1">
        <v>189</v>
      </c>
      <c r="O200" s="1">
        <v>4</v>
      </c>
      <c r="P200" s="1">
        <v>2</v>
      </c>
      <c r="Q200" s="1">
        <v>1</v>
      </c>
      <c r="R200" s="1">
        <v>2</v>
      </c>
      <c r="S200" s="1" t="s">
        <v>19</v>
      </c>
      <c r="T200" s="1" t="s">
        <v>22</v>
      </c>
      <c r="U200" s="1">
        <v>32640</v>
      </c>
      <c r="V200" s="1">
        <v>16711680</v>
      </c>
      <c r="W200" s="1" t="s">
        <v>41</v>
      </c>
    </row>
    <row r="201" spans="1:23" hidden="1">
      <c r="A201">
        <v>192</v>
      </c>
      <c r="B201" s="1">
        <v>2</v>
      </c>
      <c r="C201" s="1">
        <v>3</v>
      </c>
      <c r="D201" s="1">
        <v>1</v>
      </c>
      <c r="E201" s="1">
        <v>2</v>
      </c>
      <c r="F201" t="str">
        <f t="shared" si="11"/>
        <v>7F8000</v>
      </c>
      <c r="G201" t="str">
        <f t="shared" si="12"/>
        <v>FF00FF</v>
      </c>
      <c r="H201">
        <f t="shared" si="13"/>
        <v>8355840</v>
      </c>
      <c r="I201">
        <f t="shared" si="14"/>
        <v>16711935</v>
      </c>
      <c r="J201" t="str">
        <f t="shared" si="15"/>
        <v>BF407F</v>
      </c>
      <c r="N201" s="1">
        <v>148</v>
      </c>
      <c r="O201" s="1">
        <v>3</v>
      </c>
      <c r="P201" s="1">
        <v>4</v>
      </c>
      <c r="Q201" s="1">
        <v>2</v>
      </c>
      <c r="R201" s="1">
        <v>1</v>
      </c>
      <c r="S201" s="1" t="s">
        <v>23</v>
      </c>
      <c r="T201" s="1" t="s">
        <v>19</v>
      </c>
      <c r="U201" s="1">
        <v>16711935</v>
      </c>
      <c r="V201" s="1">
        <v>32640</v>
      </c>
      <c r="W201" s="1" t="s">
        <v>42</v>
      </c>
    </row>
    <row r="202" spans="1:23" hidden="1">
      <c r="A202">
        <v>193</v>
      </c>
      <c r="B202" s="1">
        <v>3</v>
      </c>
      <c r="C202" s="1">
        <v>3</v>
      </c>
      <c r="D202" s="1">
        <v>1</v>
      </c>
      <c r="E202" s="1">
        <v>2</v>
      </c>
      <c r="F202" t="str">
        <f t="shared" ref="F202:F233" si="16">VLOOKUP(B202,$A$2:$G$6,5+D202,0)</f>
        <v>7F807F</v>
      </c>
      <c r="G202" t="str">
        <f t="shared" ref="G202:G233" si="17">VLOOKUP(C202,$A$2:$G$6,5+E202,0)</f>
        <v>FF00FF</v>
      </c>
      <c r="H202">
        <f t="shared" ref="H202:H233" si="18">HEX2DEC(F202)</f>
        <v>8355967</v>
      </c>
      <c r="I202">
        <f t="shared" ref="I202:I233" si="19">HEX2DEC(G202)</f>
        <v>16711935</v>
      </c>
      <c r="J202" t="str">
        <f t="shared" ref="J202:J233" si="20">DEC2HEX((H202+I202)/2)</f>
        <v>BF40BF</v>
      </c>
      <c r="N202" s="1">
        <v>194</v>
      </c>
      <c r="O202" s="1">
        <v>4</v>
      </c>
      <c r="P202" s="1">
        <v>3</v>
      </c>
      <c r="Q202" s="1">
        <v>1</v>
      </c>
      <c r="R202" s="1">
        <v>2</v>
      </c>
      <c r="S202" s="1" t="s">
        <v>19</v>
      </c>
      <c r="T202" s="1" t="s">
        <v>23</v>
      </c>
      <c r="U202" s="1">
        <v>32640</v>
      </c>
      <c r="V202" s="1">
        <v>16711935</v>
      </c>
      <c r="W202" s="1" t="s">
        <v>42</v>
      </c>
    </row>
    <row r="203" spans="1:23">
      <c r="A203">
        <v>194</v>
      </c>
      <c r="B203" s="1">
        <v>4</v>
      </c>
      <c r="C203" s="1">
        <v>3</v>
      </c>
      <c r="D203" s="1">
        <v>1</v>
      </c>
      <c r="E203" s="1">
        <v>2</v>
      </c>
      <c r="F203" t="str">
        <f t="shared" si="16"/>
        <v>7F80</v>
      </c>
      <c r="G203" t="str">
        <f t="shared" si="17"/>
        <v>FF00FF</v>
      </c>
      <c r="H203">
        <f t="shared" si="18"/>
        <v>32640</v>
      </c>
      <c r="I203">
        <f t="shared" si="19"/>
        <v>16711935</v>
      </c>
      <c r="J203" t="str">
        <f t="shared" si="20"/>
        <v>7FC03F</v>
      </c>
      <c r="N203" s="1">
        <v>209</v>
      </c>
      <c r="O203" s="1">
        <v>4</v>
      </c>
      <c r="P203" s="1">
        <v>1</v>
      </c>
      <c r="Q203" s="1">
        <v>2</v>
      </c>
      <c r="R203" s="1">
        <v>2</v>
      </c>
      <c r="S203" s="1" t="s">
        <v>24</v>
      </c>
      <c r="T203" s="1" t="s">
        <v>21</v>
      </c>
      <c r="U203" s="1">
        <v>65280</v>
      </c>
      <c r="V203" s="1">
        <v>255</v>
      </c>
      <c r="W203" s="1" t="s">
        <v>45</v>
      </c>
    </row>
    <row r="204" spans="1:23" hidden="1">
      <c r="A204">
        <v>195</v>
      </c>
      <c r="B204" s="1">
        <v>0</v>
      </c>
      <c r="C204" s="1">
        <v>4</v>
      </c>
      <c r="D204" s="1">
        <v>1</v>
      </c>
      <c r="E204" s="1">
        <v>2</v>
      </c>
      <c r="F204" t="str">
        <f t="shared" si="16"/>
        <v>0</v>
      </c>
      <c r="G204" t="str">
        <f t="shared" si="17"/>
        <v>FF00</v>
      </c>
      <c r="H204">
        <f t="shared" si="18"/>
        <v>0</v>
      </c>
      <c r="I204">
        <f t="shared" si="19"/>
        <v>65280</v>
      </c>
      <c r="J204" t="str">
        <f t="shared" si="20"/>
        <v>7F80</v>
      </c>
      <c r="N204" s="1">
        <v>221</v>
      </c>
      <c r="O204" s="1">
        <v>1</v>
      </c>
      <c r="P204" s="1">
        <v>4</v>
      </c>
      <c r="Q204" s="1">
        <v>2</v>
      </c>
      <c r="R204" s="1">
        <v>2</v>
      </c>
      <c r="S204" s="1" t="s">
        <v>21</v>
      </c>
      <c r="T204" s="1" t="s">
        <v>24</v>
      </c>
      <c r="U204" s="1">
        <v>255</v>
      </c>
      <c r="V204" s="1">
        <v>65280</v>
      </c>
      <c r="W204" s="1" t="s">
        <v>45</v>
      </c>
    </row>
    <row r="205" spans="1:23" hidden="1">
      <c r="A205">
        <v>196</v>
      </c>
      <c r="B205" s="1">
        <v>1</v>
      </c>
      <c r="C205" s="1">
        <v>4</v>
      </c>
      <c r="D205" s="1">
        <v>1</v>
      </c>
      <c r="E205" s="1">
        <v>2</v>
      </c>
      <c r="F205" t="str">
        <f t="shared" si="16"/>
        <v>7F</v>
      </c>
      <c r="G205" t="str">
        <f t="shared" si="17"/>
        <v>FF00</v>
      </c>
      <c r="H205">
        <f t="shared" si="18"/>
        <v>127</v>
      </c>
      <c r="I205">
        <f t="shared" si="19"/>
        <v>65280</v>
      </c>
      <c r="J205" t="str">
        <f t="shared" si="20"/>
        <v>7FBF</v>
      </c>
      <c r="N205" s="1">
        <v>214</v>
      </c>
      <c r="O205" s="1">
        <v>4</v>
      </c>
      <c r="P205" s="1">
        <v>2</v>
      </c>
      <c r="Q205" s="1">
        <v>2</v>
      </c>
      <c r="R205" s="1">
        <v>2</v>
      </c>
      <c r="S205" s="1" t="s">
        <v>24</v>
      </c>
      <c r="T205" s="1" t="s">
        <v>22</v>
      </c>
      <c r="U205" s="1">
        <v>65280</v>
      </c>
      <c r="V205" s="1">
        <v>16711680</v>
      </c>
      <c r="W205" s="1" t="s">
        <v>47</v>
      </c>
    </row>
    <row r="206" spans="1:23" hidden="1">
      <c r="A206">
        <v>197</v>
      </c>
      <c r="B206" s="1">
        <v>2</v>
      </c>
      <c r="C206" s="1">
        <v>4</v>
      </c>
      <c r="D206" s="1">
        <v>1</v>
      </c>
      <c r="E206" s="1">
        <v>2</v>
      </c>
      <c r="F206" t="str">
        <f t="shared" si="16"/>
        <v>7F8000</v>
      </c>
      <c r="G206" t="str">
        <f t="shared" si="17"/>
        <v>FF00</v>
      </c>
      <c r="H206">
        <f t="shared" si="18"/>
        <v>8355840</v>
      </c>
      <c r="I206">
        <f t="shared" si="19"/>
        <v>65280</v>
      </c>
      <c r="J206" t="str">
        <f t="shared" si="20"/>
        <v>403F80</v>
      </c>
      <c r="N206" s="1">
        <v>222</v>
      </c>
      <c r="O206" s="1">
        <v>2</v>
      </c>
      <c r="P206" s="1">
        <v>4</v>
      </c>
      <c r="Q206" s="1">
        <v>2</v>
      </c>
      <c r="R206" s="1">
        <v>2</v>
      </c>
      <c r="S206" s="1" t="s">
        <v>22</v>
      </c>
      <c r="T206" s="1" t="s">
        <v>24</v>
      </c>
      <c r="U206" s="1">
        <v>16711680</v>
      </c>
      <c r="V206" s="1">
        <v>65280</v>
      </c>
      <c r="W206" s="1" t="s">
        <v>47</v>
      </c>
    </row>
    <row r="207" spans="1:23" hidden="1">
      <c r="A207">
        <v>198</v>
      </c>
      <c r="B207" s="1">
        <v>3</v>
      </c>
      <c r="C207" s="1">
        <v>4</v>
      </c>
      <c r="D207" s="1">
        <v>1</v>
      </c>
      <c r="E207" s="1">
        <v>2</v>
      </c>
      <c r="F207" t="str">
        <f t="shared" si="16"/>
        <v>7F807F</v>
      </c>
      <c r="G207" t="str">
        <f t="shared" si="17"/>
        <v>FF00</v>
      </c>
      <c r="H207">
        <f t="shared" si="18"/>
        <v>8355967</v>
      </c>
      <c r="I207">
        <f t="shared" si="19"/>
        <v>65280</v>
      </c>
      <c r="J207" t="str">
        <f t="shared" si="20"/>
        <v>403FBF</v>
      </c>
      <c r="N207" s="1">
        <v>219</v>
      </c>
      <c r="O207" s="1">
        <v>4</v>
      </c>
      <c r="P207" s="1">
        <v>3</v>
      </c>
      <c r="Q207" s="1">
        <v>2</v>
      </c>
      <c r="R207" s="1">
        <v>2</v>
      </c>
      <c r="S207" s="1" t="s">
        <v>24</v>
      </c>
      <c r="T207" s="1" t="s">
        <v>23</v>
      </c>
      <c r="U207" s="1">
        <v>65280</v>
      </c>
      <c r="V207" s="1">
        <v>16711935</v>
      </c>
      <c r="W207" s="1" t="s">
        <v>48</v>
      </c>
    </row>
    <row r="208" spans="1:23" hidden="1">
      <c r="A208">
        <v>199</v>
      </c>
      <c r="B208" s="1">
        <v>4</v>
      </c>
      <c r="C208" s="1">
        <v>4</v>
      </c>
      <c r="D208" s="1">
        <v>1</v>
      </c>
      <c r="E208" s="1">
        <v>2</v>
      </c>
      <c r="F208" t="str">
        <f t="shared" si="16"/>
        <v>7F80</v>
      </c>
      <c r="G208" t="str">
        <f t="shared" si="17"/>
        <v>FF00</v>
      </c>
      <c r="H208">
        <f t="shared" si="18"/>
        <v>32640</v>
      </c>
      <c r="I208">
        <f t="shared" si="19"/>
        <v>65280</v>
      </c>
      <c r="J208" t="str">
        <f t="shared" si="20"/>
        <v>BF40</v>
      </c>
      <c r="N208" s="1">
        <v>223</v>
      </c>
      <c r="O208" s="1">
        <v>3</v>
      </c>
      <c r="P208" s="1">
        <v>4</v>
      </c>
      <c r="Q208" s="1">
        <v>2</v>
      </c>
      <c r="R208" s="1">
        <v>2</v>
      </c>
      <c r="S208" s="1" t="s">
        <v>23</v>
      </c>
      <c r="T208" s="1" t="s">
        <v>24</v>
      </c>
      <c r="U208" s="1">
        <v>16711935</v>
      </c>
      <c r="V208" s="1">
        <v>65280</v>
      </c>
      <c r="W208" s="1" t="s">
        <v>48</v>
      </c>
    </row>
    <row r="209" spans="1:23" hidden="1">
      <c r="A209">
        <v>200</v>
      </c>
      <c r="B209" s="1">
        <v>0</v>
      </c>
      <c r="C209" s="1">
        <v>0</v>
      </c>
      <c r="D209" s="1">
        <v>2</v>
      </c>
      <c r="E209" s="1">
        <v>2</v>
      </c>
      <c r="F209" t="str">
        <f t="shared" si="16"/>
        <v>0</v>
      </c>
      <c r="G209" t="str">
        <f t="shared" si="17"/>
        <v>0</v>
      </c>
      <c r="H209">
        <f t="shared" si="18"/>
        <v>0</v>
      </c>
      <c r="I209">
        <f t="shared" si="19"/>
        <v>0</v>
      </c>
      <c r="J209" t="str">
        <f t="shared" si="20"/>
        <v>0</v>
      </c>
      <c r="N209" s="1">
        <v>131</v>
      </c>
      <c r="O209" s="1">
        <v>1</v>
      </c>
      <c r="P209" s="1">
        <v>1</v>
      </c>
      <c r="Q209" s="1">
        <v>2</v>
      </c>
      <c r="R209" s="1">
        <v>1</v>
      </c>
      <c r="S209" s="1" t="s">
        <v>21</v>
      </c>
      <c r="T209" s="1" t="s">
        <v>13</v>
      </c>
      <c r="U209" s="1">
        <v>255</v>
      </c>
      <c r="V209" s="1">
        <v>127</v>
      </c>
      <c r="W209" s="1" t="s">
        <v>30</v>
      </c>
    </row>
    <row r="210" spans="1:23" hidden="1">
      <c r="A210">
        <v>201</v>
      </c>
      <c r="B210" s="1">
        <v>1</v>
      </c>
      <c r="C210" s="1">
        <v>0</v>
      </c>
      <c r="D210" s="1">
        <v>2</v>
      </c>
      <c r="E210" s="1">
        <v>2</v>
      </c>
      <c r="F210" t="str">
        <f t="shared" si="16"/>
        <v>FF</v>
      </c>
      <c r="G210" t="str">
        <f t="shared" si="17"/>
        <v>0</v>
      </c>
      <c r="H210">
        <f t="shared" si="18"/>
        <v>255</v>
      </c>
      <c r="I210">
        <f t="shared" si="19"/>
        <v>0</v>
      </c>
      <c r="J210" t="str">
        <f t="shared" si="20"/>
        <v>7F</v>
      </c>
      <c r="N210" s="1">
        <v>181</v>
      </c>
      <c r="O210" s="1">
        <v>1</v>
      </c>
      <c r="P210" s="1">
        <v>1</v>
      </c>
      <c r="Q210" s="1">
        <v>1</v>
      </c>
      <c r="R210" s="1">
        <v>2</v>
      </c>
      <c r="S210" s="1" t="s">
        <v>13</v>
      </c>
      <c r="T210" s="1" t="s">
        <v>21</v>
      </c>
      <c r="U210" s="1">
        <v>127</v>
      </c>
      <c r="V210" s="1">
        <v>255</v>
      </c>
      <c r="W210" s="1" t="s">
        <v>30</v>
      </c>
    </row>
    <row r="211" spans="1:23" hidden="1">
      <c r="A211">
        <v>202</v>
      </c>
      <c r="B211" s="1">
        <v>2</v>
      </c>
      <c r="C211" s="1">
        <v>0</v>
      </c>
      <c r="D211" s="1">
        <v>2</v>
      </c>
      <c r="E211" s="1">
        <v>2</v>
      </c>
      <c r="F211" t="str">
        <f t="shared" si="16"/>
        <v>FF0000</v>
      </c>
      <c r="G211" t="str">
        <f t="shared" si="17"/>
        <v>0</v>
      </c>
      <c r="H211">
        <f t="shared" si="18"/>
        <v>16711680</v>
      </c>
      <c r="I211">
        <f t="shared" si="19"/>
        <v>0</v>
      </c>
      <c r="J211" t="str">
        <f t="shared" si="20"/>
        <v>7F8000</v>
      </c>
      <c r="N211" s="1">
        <v>149</v>
      </c>
      <c r="O211" s="1">
        <v>4</v>
      </c>
      <c r="P211" s="1">
        <v>4</v>
      </c>
      <c r="Q211" s="1">
        <v>2</v>
      </c>
      <c r="R211" s="1">
        <v>1</v>
      </c>
      <c r="S211" s="1" t="s">
        <v>24</v>
      </c>
      <c r="T211" s="1" t="s">
        <v>19</v>
      </c>
      <c r="U211" s="1">
        <v>65280</v>
      </c>
      <c r="V211" s="1">
        <v>32640</v>
      </c>
      <c r="W211" s="1" t="s">
        <v>43</v>
      </c>
    </row>
    <row r="212" spans="1:23" hidden="1">
      <c r="A212">
        <v>203</v>
      </c>
      <c r="B212" s="1">
        <v>3</v>
      </c>
      <c r="C212" s="1">
        <v>0</v>
      </c>
      <c r="D212" s="1">
        <v>2</v>
      </c>
      <c r="E212" s="1">
        <v>2</v>
      </c>
      <c r="F212" t="str">
        <f t="shared" si="16"/>
        <v>FF00FF</v>
      </c>
      <c r="G212" t="str">
        <f t="shared" si="17"/>
        <v>0</v>
      </c>
      <c r="H212">
        <f t="shared" si="18"/>
        <v>16711935</v>
      </c>
      <c r="I212">
        <f t="shared" si="19"/>
        <v>0</v>
      </c>
      <c r="J212" t="str">
        <f t="shared" si="20"/>
        <v>7F807F</v>
      </c>
      <c r="N212" s="1">
        <v>199</v>
      </c>
      <c r="O212" s="1">
        <v>4</v>
      </c>
      <c r="P212" s="1">
        <v>4</v>
      </c>
      <c r="Q212" s="1">
        <v>1</v>
      </c>
      <c r="R212" s="1">
        <v>2</v>
      </c>
      <c r="S212" s="1" t="s">
        <v>19</v>
      </c>
      <c r="T212" s="1" t="s">
        <v>24</v>
      </c>
      <c r="U212" s="1">
        <v>32640</v>
      </c>
      <c r="V212" s="1">
        <v>65280</v>
      </c>
      <c r="W212" s="1" t="s">
        <v>43</v>
      </c>
    </row>
    <row r="213" spans="1:23" hidden="1">
      <c r="A213">
        <v>204</v>
      </c>
      <c r="B213" s="1">
        <v>4</v>
      </c>
      <c r="C213" s="1">
        <v>0</v>
      </c>
      <c r="D213" s="1">
        <v>2</v>
      </c>
      <c r="E213" s="1">
        <v>2</v>
      </c>
      <c r="F213" t="str">
        <f t="shared" si="16"/>
        <v>FF00</v>
      </c>
      <c r="G213" t="str">
        <f t="shared" si="17"/>
        <v>0</v>
      </c>
      <c r="H213">
        <f t="shared" si="18"/>
        <v>65280</v>
      </c>
      <c r="I213">
        <f t="shared" si="19"/>
        <v>0</v>
      </c>
      <c r="J213" t="str">
        <f t="shared" si="20"/>
        <v>7F80</v>
      </c>
      <c r="N213" s="1">
        <v>137</v>
      </c>
      <c r="O213" s="1">
        <v>2</v>
      </c>
      <c r="P213" s="1">
        <v>2</v>
      </c>
      <c r="Q213" s="1">
        <v>2</v>
      </c>
      <c r="R213" s="1">
        <v>1</v>
      </c>
      <c r="S213" s="1" t="s">
        <v>22</v>
      </c>
      <c r="T213" s="1" t="s">
        <v>15</v>
      </c>
      <c r="U213" s="1">
        <v>16711680</v>
      </c>
      <c r="V213" s="1">
        <v>8355840</v>
      </c>
      <c r="W213" s="1" t="s">
        <v>33</v>
      </c>
    </row>
    <row r="214" spans="1:23" hidden="1">
      <c r="A214">
        <v>205</v>
      </c>
      <c r="B214" s="1">
        <v>0</v>
      </c>
      <c r="C214" s="1">
        <v>1</v>
      </c>
      <c r="D214" s="1">
        <v>2</v>
      </c>
      <c r="E214" s="1">
        <v>2</v>
      </c>
      <c r="F214" t="str">
        <f t="shared" si="16"/>
        <v>0</v>
      </c>
      <c r="G214" t="str">
        <f t="shared" si="17"/>
        <v>FF</v>
      </c>
      <c r="H214">
        <f t="shared" si="18"/>
        <v>0</v>
      </c>
      <c r="I214">
        <f t="shared" si="19"/>
        <v>255</v>
      </c>
      <c r="J214" t="str">
        <f t="shared" si="20"/>
        <v>7F</v>
      </c>
      <c r="N214" s="1">
        <v>187</v>
      </c>
      <c r="O214" s="1">
        <v>2</v>
      </c>
      <c r="P214" s="1">
        <v>2</v>
      </c>
      <c r="Q214" s="1">
        <v>1</v>
      </c>
      <c r="R214" s="1">
        <v>2</v>
      </c>
      <c r="S214" s="1" t="s">
        <v>15</v>
      </c>
      <c r="T214" s="1" t="s">
        <v>22</v>
      </c>
      <c r="U214" s="1">
        <v>8355840</v>
      </c>
      <c r="V214" s="1">
        <v>16711680</v>
      </c>
      <c r="W214" s="1" t="s">
        <v>33</v>
      </c>
    </row>
    <row r="215" spans="1:23" hidden="1">
      <c r="A215">
        <v>206</v>
      </c>
      <c r="B215" s="1">
        <v>1</v>
      </c>
      <c r="C215" s="1">
        <v>1</v>
      </c>
      <c r="D215" s="1">
        <v>2</v>
      </c>
      <c r="E215" s="1">
        <v>2</v>
      </c>
      <c r="F215" t="str">
        <f t="shared" si="16"/>
        <v>FF</v>
      </c>
      <c r="G215" t="str">
        <f t="shared" si="17"/>
        <v>FF</v>
      </c>
      <c r="H215">
        <f t="shared" si="18"/>
        <v>255</v>
      </c>
      <c r="I215">
        <f t="shared" si="19"/>
        <v>255</v>
      </c>
      <c r="J215" t="str">
        <f t="shared" si="20"/>
        <v>FF</v>
      </c>
      <c r="N215" s="1">
        <v>142</v>
      </c>
      <c r="O215" s="1">
        <v>2</v>
      </c>
      <c r="P215" s="1">
        <v>3</v>
      </c>
      <c r="Q215" s="1">
        <v>2</v>
      </c>
      <c r="R215" s="1">
        <v>1</v>
      </c>
      <c r="S215" s="1" t="s">
        <v>22</v>
      </c>
      <c r="T215" s="1" t="s">
        <v>17</v>
      </c>
      <c r="U215" s="1">
        <v>16711680</v>
      </c>
      <c r="V215" s="1">
        <v>8355967</v>
      </c>
      <c r="W215" s="1" t="s">
        <v>37</v>
      </c>
    </row>
    <row r="216" spans="1:23" hidden="1">
      <c r="A216">
        <v>207</v>
      </c>
      <c r="B216" s="1">
        <v>2</v>
      </c>
      <c r="C216" s="1">
        <v>1</v>
      </c>
      <c r="D216" s="1">
        <v>2</v>
      </c>
      <c r="E216" s="1">
        <v>2</v>
      </c>
      <c r="F216" t="str">
        <f t="shared" si="16"/>
        <v>FF0000</v>
      </c>
      <c r="G216" t="str">
        <f t="shared" si="17"/>
        <v>FF</v>
      </c>
      <c r="H216">
        <f t="shared" si="18"/>
        <v>16711680</v>
      </c>
      <c r="I216">
        <f t="shared" si="19"/>
        <v>255</v>
      </c>
      <c r="J216" t="str">
        <f t="shared" si="20"/>
        <v>7F807F</v>
      </c>
      <c r="N216" s="1">
        <v>188</v>
      </c>
      <c r="O216" s="1">
        <v>3</v>
      </c>
      <c r="P216" s="1">
        <v>2</v>
      </c>
      <c r="Q216" s="1">
        <v>1</v>
      </c>
      <c r="R216" s="1">
        <v>2</v>
      </c>
      <c r="S216" s="1" t="s">
        <v>17</v>
      </c>
      <c r="T216" s="1" t="s">
        <v>22</v>
      </c>
      <c r="U216" s="1">
        <v>8355967</v>
      </c>
      <c r="V216" s="1">
        <v>16711680</v>
      </c>
      <c r="W216" s="1" t="s">
        <v>37</v>
      </c>
    </row>
    <row r="217" spans="1:23" hidden="1">
      <c r="A217">
        <v>208</v>
      </c>
      <c r="B217" s="1">
        <v>3</v>
      </c>
      <c r="C217" s="1">
        <v>1</v>
      </c>
      <c r="D217" s="1">
        <v>2</v>
      </c>
      <c r="E217" s="1">
        <v>2</v>
      </c>
      <c r="F217" t="str">
        <f t="shared" si="16"/>
        <v>FF00FF</v>
      </c>
      <c r="G217" t="str">
        <f t="shared" si="17"/>
        <v>FF</v>
      </c>
      <c r="H217">
        <f t="shared" si="18"/>
        <v>16711935</v>
      </c>
      <c r="I217">
        <f t="shared" si="19"/>
        <v>255</v>
      </c>
      <c r="J217" t="str">
        <f t="shared" si="20"/>
        <v>7F80FF</v>
      </c>
      <c r="N217" s="1">
        <v>138</v>
      </c>
      <c r="O217" s="1">
        <v>3</v>
      </c>
      <c r="P217" s="1">
        <v>2</v>
      </c>
      <c r="Q217" s="1">
        <v>2</v>
      </c>
      <c r="R217" s="1">
        <v>1</v>
      </c>
      <c r="S217" s="1" t="s">
        <v>23</v>
      </c>
      <c r="T217" s="1" t="s">
        <v>15</v>
      </c>
      <c r="U217" s="1">
        <v>16711935</v>
      </c>
      <c r="V217" s="1">
        <v>8355840</v>
      </c>
      <c r="W217" s="1" t="s">
        <v>34</v>
      </c>
    </row>
    <row r="218" spans="1:23" hidden="1">
      <c r="A218">
        <v>209</v>
      </c>
      <c r="B218" s="1">
        <v>4</v>
      </c>
      <c r="C218" s="1">
        <v>1</v>
      </c>
      <c r="D218" s="1">
        <v>2</v>
      </c>
      <c r="E218" s="1">
        <v>2</v>
      </c>
      <c r="F218" t="str">
        <f t="shared" si="16"/>
        <v>FF00</v>
      </c>
      <c r="G218" t="str">
        <f t="shared" si="17"/>
        <v>FF</v>
      </c>
      <c r="H218">
        <f t="shared" si="18"/>
        <v>65280</v>
      </c>
      <c r="I218">
        <f t="shared" si="19"/>
        <v>255</v>
      </c>
      <c r="J218" t="str">
        <f t="shared" si="20"/>
        <v>7FFF</v>
      </c>
      <c r="N218" s="1">
        <v>192</v>
      </c>
      <c r="O218" s="1">
        <v>2</v>
      </c>
      <c r="P218" s="1">
        <v>3</v>
      </c>
      <c r="Q218" s="1">
        <v>1</v>
      </c>
      <c r="R218" s="1">
        <v>2</v>
      </c>
      <c r="S218" s="1" t="s">
        <v>15</v>
      </c>
      <c r="T218" s="1" t="s">
        <v>23</v>
      </c>
      <c r="U218" s="1">
        <v>8355840</v>
      </c>
      <c r="V218" s="1">
        <v>16711935</v>
      </c>
      <c r="W218" s="1" t="s">
        <v>34</v>
      </c>
    </row>
    <row r="219" spans="1:23" hidden="1">
      <c r="A219">
        <v>210</v>
      </c>
      <c r="B219" s="1">
        <v>0</v>
      </c>
      <c r="C219" s="1">
        <v>2</v>
      </c>
      <c r="D219" s="1">
        <v>2</v>
      </c>
      <c r="E219" s="1">
        <v>2</v>
      </c>
      <c r="F219" t="str">
        <f t="shared" si="16"/>
        <v>0</v>
      </c>
      <c r="G219" t="str">
        <f t="shared" si="17"/>
        <v>FF0000</v>
      </c>
      <c r="H219">
        <f t="shared" si="18"/>
        <v>0</v>
      </c>
      <c r="I219">
        <f t="shared" si="19"/>
        <v>16711680</v>
      </c>
      <c r="J219" t="str">
        <f t="shared" si="20"/>
        <v>7F8000</v>
      </c>
      <c r="N219" s="1">
        <v>143</v>
      </c>
      <c r="O219" s="1">
        <v>3</v>
      </c>
      <c r="P219" s="1">
        <v>3</v>
      </c>
      <c r="Q219" s="1">
        <v>2</v>
      </c>
      <c r="R219" s="1">
        <v>1</v>
      </c>
      <c r="S219" s="1" t="s">
        <v>23</v>
      </c>
      <c r="T219" s="1" t="s">
        <v>17</v>
      </c>
      <c r="U219" s="1">
        <v>16711935</v>
      </c>
      <c r="V219" s="1">
        <v>8355967</v>
      </c>
      <c r="W219" s="1" t="s">
        <v>38</v>
      </c>
    </row>
    <row r="220" spans="1:23" hidden="1">
      <c r="A220">
        <v>211</v>
      </c>
      <c r="B220" s="1">
        <v>1</v>
      </c>
      <c r="C220" s="1">
        <v>2</v>
      </c>
      <c r="D220" s="1">
        <v>2</v>
      </c>
      <c r="E220" s="1">
        <v>2</v>
      </c>
      <c r="F220" t="str">
        <f t="shared" si="16"/>
        <v>FF</v>
      </c>
      <c r="G220" t="str">
        <f t="shared" si="17"/>
        <v>FF0000</v>
      </c>
      <c r="H220">
        <f t="shared" si="18"/>
        <v>255</v>
      </c>
      <c r="I220">
        <f t="shared" si="19"/>
        <v>16711680</v>
      </c>
      <c r="J220" t="str">
        <f t="shared" si="20"/>
        <v>7F807F</v>
      </c>
      <c r="N220" s="1">
        <v>193</v>
      </c>
      <c r="O220" s="1">
        <v>3</v>
      </c>
      <c r="P220" s="1">
        <v>3</v>
      </c>
      <c r="Q220" s="1">
        <v>1</v>
      </c>
      <c r="R220" s="1">
        <v>2</v>
      </c>
      <c r="S220" s="1" t="s">
        <v>17</v>
      </c>
      <c r="T220" s="1" t="s">
        <v>23</v>
      </c>
      <c r="U220" s="1">
        <v>8355967</v>
      </c>
      <c r="V220" s="1">
        <v>16711935</v>
      </c>
      <c r="W220" s="1" t="s">
        <v>38</v>
      </c>
    </row>
    <row r="221" spans="1:23" hidden="1">
      <c r="A221">
        <v>212</v>
      </c>
      <c r="B221" s="1">
        <v>2</v>
      </c>
      <c r="C221" s="1">
        <v>2</v>
      </c>
      <c r="D221" s="1">
        <v>2</v>
      </c>
      <c r="E221" s="1">
        <v>2</v>
      </c>
      <c r="F221" t="str">
        <f t="shared" si="16"/>
        <v>FF0000</v>
      </c>
      <c r="G221" t="str">
        <f t="shared" si="17"/>
        <v>FF0000</v>
      </c>
      <c r="H221">
        <f t="shared" si="18"/>
        <v>16711680</v>
      </c>
      <c r="I221">
        <f t="shared" si="19"/>
        <v>16711680</v>
      </c>
      <c r="J221" t="str">
        <f t="shared" si="20"/>
        <v>FF0000</v>
      </c>
      <c r="N221" s="1">
        <v>206</v>
      </c>
      <c r="O221" s="1">
        <v>1</v>
      </c>
      <c r="P221" s="1">
        <v>1</v>
      </c>
      <c r="Q221" s="1">
        <v>2</v>
      </c>
      <c r="R221" s="1">
        <v>2</v>
      </c>
      <c r="S221" s="1" t="s">
        <v>21</v>
      </c>
      <c r="T221" s="1" t="s">
        <v>21</v>
      </c>
      <c r="U221" s="1">
        <v>255</v>
      </c>
      <c r="V221" s="1">
        <v>255</v>
      </c>
      <c r="W221" s="1" t="s">
        <v>21</v>
      </c>
    </row>
    <row r="222" spans="1:23" hidden="1">
      <c r="A222">
        <v>213</v>
      </c>
      <c r="B222" s="1">
        <v>3</v>
      </c>
      <c r="C222" s="1">
        <v>2</v>
      </c>
      <c r="D222" s="1">
        <v>2</v>
      </c>
      <c r="E222" s="1">
        <v>2</v>
      </c>
      <c r="F222" t="str">
        <f t="shared" si="16"/>
        <v>FF00FF</v>
      </c>
      <c r="G222" t="str">
        <f t="shared" si="17"/>
        <v>FF0000</v>
      </c>
      <c r="H222">
        <f t="shared" si="18"/>
        <v>16711935</v>
      </c>
      <c r="I222">
        <f t="shared" si="19"/>
        <v>16711680</v>
      </c>
      <c r="J222" t="str">
        <f t="shared" si="20"/>
        <v>FF007F</v>
      </c>
      <c r="N222" s="1">
        <v>224</v>
      </c>
      <c r="O222" s="1">
        <v>4</v>
      </c>
      <c r="P222" s="1">
        <v>4</v>
      </c>
      <c r="Q222" s="1">
        <v>2</v>
      </c>
      <c r="R222" s="1">
        <v>2</v>
      </c>
      <c r="S222" s="1" t="s">
        <v>24</v>
      </c>
      <c r="T222" s="1" t="s">
        <v>24</v>
      </c>
      <c r="U222" s="1">
        <v>65280</v>
      </c>
      <c r="V222" s="1">
        <v>65280</v>
      </c>
      <c r="W222" s="1" t="s">
        <v>24</v>
      </c>
    </row>
    <row r="223" spans="1:23" hidden="1">
      <c r="A223">
        <v>214</v>
      </c>
      <c r="B223" s="1">
        <v>4</v>
      </c>
      <c r="C223" s="1">
        <v>2</v>
      </c>
      <c r="D223" s="1">
        <v>2</v>
      </c>
      <c r="E223" s="1">
        <v>2</v>
      </c>
      <c r="F223" t="str">
        <f t="shared" si="16"/>
        <v>FF00</v>
      </c>
      <c r="G223" t="str">
        <f t="shared" si="17"/>
        <v>FF0000</v>
      </c>
      <c r="H223">
        <f t="shared" si="18"/>
        <v>65280</v>
      </c>
      <c r="I223">
        <f t="shared" si="19"/>
        <v>16711680</v>
      </c>
      <c r="J223" t="str">
        <f t="shared" si="20"/>
        <v>7FFF80</v>
      </c>
      <c r="N223" s="1">
        <v>212</v>
      </c>
      <c r="O223" s="1">
        <v>2</v>
      </c>
      <c r="P223" s="1">
        <v>2</v>
      </c>
      <c r="Q223" s="1">
        <v>2</v>
      </c>
      <c r="R223" s="1">
        <v>2</v>
      </c>
      <c r="S223" s="1" t="s">
        <v>22</v>
      </c>
      <c r="T223" s="1" t="s">
        <v>22</v>
      </c>
      <c r="U223" s="1">
        <v>16711680</v>
      </c>
      <c r="V223" s="1">
        <v>16711680</v>
      </c>
      <c r="W223" s="1" t="s">
        <v>22</v>
      </c>
    </row>
    <row r="224" spans="1:23" hidden="1">
      <c r="A224">
        <v>215</v>
      </c>
      <c r="B224" s="1">
        <v>0</v>
      </c>
      <c r="C224" s="1">
        <v>3</v>
      </c>
      <c r="D224" s="1">
        <v>2</v>
      </c>
      <c r="E224" s="1">
        <v>2</v>
      </c>
      <c r="F224" t="str">
        <f t="shared" si="16"/>
        <v>0</v>
      </c>
      <c r="G224" t="str">
        <f t="shared" si="17"/>
        <v>FF00FF</v>
      </c>
      <c r="H224">
        <f t="shared" si="18"/>
        <v>0</v>
      </c>
      <c r="I224">
        <f t="shared" si="19"/>
        <v>16711935</v>
      </c>
      <c r="J224" t="str">
        <f t="shared" si="20"/>
        <v>7F807F</v>
      </c>
      <c r="N224" s="1">
        <v>213</v>
      </c>
      <c r="O224" s="1">
        <v>3</v>
      </c>
      <c r="P224" s="1">
        <v>2</v>
      </c>
      <c r="Q224" s="1">
        <v>2</v>
      </c>
      <c r="R224" s="1">
        <v>2</v>
      </c>
      <c r="S224" s="1" t="s">
        <v>23</v>
      </c>
      <c r="T224" s="1" t="s">
        <v>22</v>
      </c>
      <c r="U224" s="1">
        <v>16711935</v>
      </c>
      <c r="V224" s="1">
        <v>16711680</v>
      </c>
      <c r="W224" s="1" t="s">
        <v>46</v>
      </c>
    </row>
    <row r="225" spans="1:23" hidden="1">
      <c r="A225">
        <v>216</v>
      </c>
      <c r="B225" s="1">
        <v>1</v>
      </c>
      <c r="C225" s="1">
        <v>3</v>
      </c>
      <c r="D225" s="1">
        <v>2</v>
      </c>
      <c r="E225" s="1">
        <v>2</v>
      </c>
      <c r="F225" t="str">
        <f t="shared" si="16"/>
        <v>FF</v>
      </c>
      <c r="G225" t="str">
        <f t="shared" si="17"/>
        <v>FF00FF</v>
      </c>
      <c r="H225">
        <f t="shared" si="18"/>
        <v>255</v>
      </c>
      <c r="I225">
        <f t="shared" si="19"/>
        <v>16711935</v>
      </c>
      <c r="J225" t="str">
        <f t="shared" si="20"/>
        <v>7F80FF</v>
      </c>
      <c r="N225" s="1">
        <v>217</v>
      </c>
      <c r="O225" s="1">
        <v>2</v>
      </c>
      <c r="P225" s="1">
        <v>3</v>
      </c>
      <c r="Q225" s="1">
        <v>2</v>
      </c>
      <c r="R225" s="1">
        <v>2</v>
      </c>
      <c r="S225" s="1" t="s">
        <v>22</v>
      </c>
      <c r="T225" s="1" t="s">
        <v>23</v>
      </c>
      <c r="U225" s="1">
        <v>16711680</v>
      </c>
      <c r="V225" s="1">
        <v>16711935</v>
      </c>
      <c r="W225" s="1" t="s">
        <v>46</v>
      </c>
    </row>
    <row r="226" spans="1:23" hidden="1">
      <c r="A226">
        <v>217</v>
      </c>
      <c r="B226" s="1">
        <v>2</v>
      </c>
      <c r="C226" s="1">
        <v>3</v>
      </c>
      <c r="D226" s="1">
        <v>2</v>
      </c>
      <c r="E226" s="1">
        <v>2</v>
      </c>
      <c r="F226" t="str">
        <f t="shared" si="16"/>
        <v>FF0000</v>
      </c>
      <c r="G226" t="str">
        <f t="shared" si="17"/>
        <v>FF00FF</v>
      </c>
      <c r="H226">
        <f t="shared" si="18"/>
        <v>16711680</v>
      </c>
      <c r="I226">
        <f t="shared" si="19"/>
        <v>16711935</v>
      </c>
      <c r="J226" t="str">
        <f t="shared" si="20"/>
        <v>FF007F</v>
      </c>
      <c r="N226" s="1">
        <v>218</v>
      </c>
      <c r="O226" s="1">
        <v>3</v>
      </c>
      <c r="P226" s="1">
        <v>3</v>
      </c>
      <c r="Q226" s="1">
        <v>2</v>
      </c>
      <c r="R226" s="1">
        <v>2</v>
      </c>
      <c r="S226" s="1" t="s">
        <v>23</v>
      </c>
      <c r="T226" s="1" t="s">
        <v>23</v>
      </c>
      <c r="U226" s="1">
        <v>16711935</v>
      </c>
      <c r="V226" s="1">
        <v>16711935</v>
      </c>
      <c r="W226" s="1" t="s">
        <v>23</v>
      </c>
    </row>
    <row r="227" spans="1:23">
      <c r="A227">
        <v>218</v>
      </c>
      <c r="B227" s="1">
        <v>3</v>
      </c>
      <c r="C227" s="1">
        <v>3</v>
      </c>
      <c r="D227" s="1">
        <v>2</v>
      </c>
      <c r="E227" s="1">
        <v>2</v>
      </c>
      <c r="F227" t="str">
        <f t="shared" si="16"/>
        <v>FF00FF</v>
      </c>
      <c r="G227" t="str">
        <f t="shared" si="17"/>
        <v>FF00FF</v>
      </c>
      <c r="H227">
        <f t="shared" si="18"/>
        <v>16711935</v>
      </c>
      <c r="I227">
        <f t="shared" si="19"/>
        <v>16711935</v>
      </c>
      <c r="J227" t="str">
        <f t="shared" si="20"/>
        <v>FF00FF</v>
      </c>
    </row>
    <row r="228" spans="1:23">
      <c r="A228">
        <v>219</v>
      </c>
      <c r="B228" s="1">
        <v>4</v>
      </c>
      <c r="C228" s="1">
        <v>3</v>
      </c>
      <c r="D228" s="1">
        <v>2</v>
      </c>
      <c r="E228" s="1">
        <v>2</v>
      </c>
      <c r="F228" t="str">
        <f t="shared" si="16"/>
        <v>FF00</v>
      </c>
      <c r="G228" t="str">
        <f t="shared" si="17"/>
        <v>FF00FF</v>
      </c>
      <c r="H228">
        <f t="shared" si="18"/>
        <v>65280</v>
      </c>
      <c r="I228">
        <f t="shared" si="19"/>
        <v>16711935</v>
      </c>
      <c r="J228" t="str">
        <f t="shared" si="20"/>
        <v>7FFFFF</v>
      </c>
    </row>
    <row r="229" spans="1:23">
      <c r="A229">
        <v>220</v>
      </c>
      <c r="B229" s="1">
        <v>0</v>
      </c>
      <c r="C229" s="1">
        <v>4</v>
      </c>
      <c r="D229" s="1">
        <v>2</v>
      </c>
      <c r="E229" s="1">
        <v>2</v>
      </c>
      <c r="F229" t="str">
        <f t="shared" si="16"/>
        <v>0</v>
      </c>
      <c r="G229" t="str">
        <f t="shared" si="17"/>
        <v>FF00</v>
      </c>
      <c r="H229">
        <f t="shared" si="18"/>
        <v>0</v>
      </c>
      <c r="I229">
        <f t="shared" si="19"/>
        <v>65280</v>
      </c>
      <c r="J229" t="str">
        <f t="shared" si="20"/>
        <v>7F80</v>
      </c>
    </row>
    <row r="230" spans="1:23">
      <c r="A230">
        <v>221</v>
      </c>
      <c r="B230" s="1">
        <v>1</v>
      </c>
      <c r="C230" s="1">
        <v>4</v>
      </c>
      <c r="D230" s="1">
        <v>2</v>
      </c>
      <c r="E230" s="1">
        <v>2</v>
      </c>
      <c r="F230" t="str">
        <f t="shared" si="16"/>
        <v>FF</v>
      </c>
      <c r="G230" t="str">
        <f t="shared" si="17"/>
        <v>FF00</v>
      </c>
      <c r="H230">
        <f t="shared" si="18"/>
        <v>255</v>
      </c>
      <c r="I230">
        <f t="shared" si="19"/>
        <v>65280</v>
      </c>
      <c r="J230" t="str">
        <f t="shared" si="20"/>
        <v>7FFF</v>
      </c>
    </row>
    <row r="231" spans="1:23">
      <c r="A231">
        <v>222</v>
      </c>
      <c r="B231" s="1">
        <v>2</v>
      </c>
      <c r="C231" s="1">
        <v>4</v>
      </c>
      <c r="D231" s="1">
        <v>2</v>
      </c>
      <c r="E231" s="1">
        <v>2</v>
      </c>
      <c r="F231" t="str">
        <f t="shared" si="16"/>
        <v>FF0000</v>
      </c>
      <c r="G231" t="str">
        <f t="shared" si="17"/>
        <v>FF00</v>
      </c>
      <c r="H231">
        <f t="shared" si="18"/>
        <v>16711680</v>
      </c>
      <c r="I231">
        <f t="shared" si="19"/>
        <v>65280</v>
      </c>
      <c r="J231" t="str">
        <f t="shared" si="20"/>
        <v>7FFF80</v>
      </c>
    </row>
    <row r="232" spans="1:23">
      <c r="A232">
        <v>223</v>
      </c>
      <c r="B232" s="1">
        <v>3</v>
      </c>
      <c r="C232" s="1">
        <v>4</v>
      </c>
      <c r="D232" s="1">
        <v>2</v>
      </c>
      <c r="E232" s="1">
        <v>2</v>
      </c>
      <c r="F232" t="str">
        <f t="shared" si="16"/>
        <v>FF00FF</v>
      </c>
      <c r="G232" t="str">
        <f t="shared" si="17"/>
        <v>FF00</v>
      </c>
      <c r="H232">
        <f t="shared" si="18"/>
        <v>16711935</v>
      </c>
      <c r="I232">
        <f t="shared" si="19"/>
        <v>65280</v>
      </c>
      <c r="J232" t="str">
        <f t="shared" si="20"/>
        <v>7FFFFF</v>
      </c>
    </row>
    <row r="233" spans="1:23">
      <c r="A233">
        <v>224</v>
      </c>
      <c r="B233" s="1">
        <v>4</v>
      </c>
      <c r="C233" s="1">
        <v>4</v>
      </c>
      <c r="D233" s="1">
        <v>2</v>
      </c>
      <c r="E233" s="1">
        <v>2</v>
      </c>
      <c r="F233" t="str">
        <f t="shared" si="16"/>
        <v>FF00</v>
      </c>
      <c r="G233" t="str">
        <f t="shared" si="17"/>
        <v>FF00</v>
      </c>
      <c r="H233">
        <f t="shared" si="18"/>
        <v>65280</v>
      </c>
      <c r="I233">
        <f t="shared" si="19"/>
        <v>65280</v>
      </c>
      <c r="J233" t="str">
        <f t="shared" si="20"/>
        <v>FF00</v>
      </c>
    </row>
  </sheetData>
  <autoFilter ref="N1:W226">
    <filterColumn colId="1">
      <filters>
        <filter val="4"/>
      </filters>
    </filterColumn>
    <filterColumn colId="2">
      <filters>
        <filter val="1"/>
      </filters>
    </filterColumn>
    <sortState ref="N2:W226">
      <sortCondition ref="W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1"/>
  <sheetViews>
    <sheetView workbookViewId="0">
      <selection activeCell="J101" sqref="A1:J101"/>
    </sheetView>
  </sheetViews>
  <sheetFormatPr defaultRowHeight="15"/>
  <sheetData>
    <row r="1" spans="1:11">
      <c r="A1" s="5" t="s">
        <v>6</v>
      </c>
      <c r="B1" s="5" t="s">
        <v>7</v>
      </c>
      <c r="C1" s="5" t="s">
        <v>8</v>
      </c>
      <c r="D1" s="5" t="s">
        <v>4</v>
      </c>
      <c r="E1" s="5" t="s">
        <v>5</v>
      </c>
      <c r="F1" s="5" t="s">
        <v>9</v>
      </c>
      <c r="G1" s="5" t="s">
        <v>10</v>
      </c>
      <c r="H1" s="5" t="s">
        <v>9</v>
      </c>
      <c r="I1" s="5" t="s">
        <v>10</v>
      </c>
      <c r="J1" s="5" t="s">
        <v>49</v>
      </c>
      <c r="K1" s="5" t="s">
        <v>50</v>
      </c>
    </row>
    <row r="2" spans="1:11">
      <c r="A2" s="1">
        <v>100</v>
      </c>
      <c r="B2" s="1">
        <v>0</v>
      </c>
      <c r="C2" s="1">
        <v>0</v>
      </c>
      <c r="D2" s="1">
        <v>1</v>
      </c>
      <c r="E2" s="1">
        <v>1</v>
      </c>
      <c r="F2" s="1" t="s">
        <v>12</v>
      </c>
      <c r="G2" s="1" t="s">
        <v>12</v>
      </c>
      <c r="H2" s="1">
        <v>0</v>
      </c>
      <c r="I2" s="1">
        <v>0</v>
      </c>
      <c r="J2" s="1" t="s">
        <v>12</v>
      </c>
      <c r="K2">
        <f>INT(J2&lt;&gt;J1)</f>
        <v>1</v>
      </c>
    </row>
    <row r="3" spans="1:11" hidden="1">
      <c r="A3" s="1">
        <v>125</v>
      </c>
      <c r="B3" s="1">
        <v>0</v>
      </c>
      <c r="C3" s="1">
        <v>0</v>
      </c>
      <c r="D3" s="1">
        <v>2</v>
      </c>
      <c r="E3" s="1">
        <v>1</v>
      </c>
      <c r="F3" s="1" t="s">
        <v>12</v>
      </c>
      <c r="G3" s="1" t="s">
        <v>12</v>
      </c>
      <c r="H3" s="1">
        <v>0</v>
      </c>
      <c r="I3" s="1">
        <v>0</v>
      </c>
      <c r="J3" s="1" t="s">
        <v>12</v>
      </c>
      <c r="K3">
        <f t="shared" ref="K3:K66" si="0">INT(J3&lt;&gt;J2)</f>
        <v>0</v>
      </c>
    </row>
    <row r="4" spans="1:11" hidden="1">
      <c r="A4" s="1">
        <v>175</v>
      </c>
      <c r="B4" s="1">
        <v>0</v>
      </c>
      <c r="C4" s="1">
        <v>0</v>
      </c>
      <c r="D4" s="1">
        <v>1</v>
      </c>
      <c r="E4" s="1">
        <v>2</v>
      </c>
      <c r="F4" s="1" t="s">
        <v>12</v>
      </c>
      <c r="G4" s="1" t="s">
        <v>12</v>
      </c>
      <c r="H4" s="1">
        <v>0</v>
      </c>
      <c r="I4" s="1">
        <v>0</v>
      </c>
      <c r="J4" s="1" t="s">
        <v>12</v>
      </c>
      <c r="K4">
        <f t="shared" si="0"/>
        <v>0</v>
      </c>
    </row>
    <row r="5" spans="1:11" hidden="1">
      <c r="A5" s="1">
        <v>200</v>
      </c>
      <c r="B5" s="1">
        <v>0</v>
      </c>
      <c r="C5" s="1">
        <v>0</v>
      </c>
      <c r="D5" s="1">
        <v>2</v>
      </c>
      <c r="E5" s="1">
        <v>2</v>
      </c>
      <c r="F5" s="1" t="s">
        <v>12</v>
      </c>
      <c r="G5" s="1" t="s">
        <v>12</v>
      </c>
      <c r="H5" s="1">
        <v>0</v>
      </c>
      <c r="I5" s="1">
        <v>0</v>
      </c>
      <c r="J5" s="1" t="s">
        <v>12</v>
      </c>
      <c r="K5">
        <f t="shared" si="0"/>
        <v>0</v>
      </c>
    </row>
    <row r="6" spans="1:11">
      <c r="A6" s="1">
        <v>101</v>
      </c>
      <c r="B6" s="1">
        <v>1</v>
      </c>
      <c r="C6" s="1">
        <v>0</v>
      </c>
      <c r="D6" s="1">
        <v>1</v>
      </c>
      <c r="E6" s="1">
        <v>1</v>
      </c>
      <c r="F6" s="1" t="s">
        <v>13</v>
      </c>
      <c r="G6" s="1" t="s">
        <v>12</v>
      </c>
      <c r="H6" s="1">
        <v>127</v>
      </c>
      <c r="I6" s="1">
        <v>0</v>
      </c>
      <c r="J6" s="1" t="s">
        <v>14</v>
      </c>
      <c r="K6">
        <f t="shared" si="0"/>
        <v>1</v>
      </c>
    </row>
    <row r="7" spans="1:11" hidden="1">
      <c r="A7" s="1">
        <v>105</v>
      </c>
      <c r="B7" s="1">
        <v>0</v>
      </c>
      <c r="C7" s="1">
        <v>1</v>
      </c>
      <c r="D7" s="1">
        <v>1</v>
      </c>
      <c r="E7" s="1">
        <v>1</v>
      </c>
      <c r="F7" s="1" t="s">
        <v>12</v>
      </c>
      <c r="G7" s="1" t="s">
        <v>13</v>
      </c>
      <c r="H7" s="1">
        <v>0</v>
      </c>
      <c r="I7" s="1">
        <v>127</v>
      </c>
      <c r="J7" s="1" t="s">
        <v>14</v>
      </c>
      <c r="K7">
        <f t="shared" si="0"/>
        <v>0</v>
      </c>
    </row>
    <row r="8" spans="1:11" hidden="1">
      <c r="A8" s="1">
        <v>130</v>
      </c>
      <c r="B8" s="1">
        <v>0</v>
      </c>
      <c r="C8" s="1">
        <v>1</v>
      </c>
      <c r="D8" s="1">
        <v>2</v>
      </c>
      <c r="E8" s="1">
        <v>1</v>
      </c>
      <c r="F8" s="1" t="s">
        <v>12</v>
      </c>
      <c r="G8" s="1" t="s">
        <v>13</v>
      </c>
      <c r="H8" s="1">
        <v>0</v>
      </c>
      <c r="I8" s="1">
        <v>127</v>
      </c>
      <c r="J8" s="1" t="s">
        <v>14</v>
      </c>
      <c r="K8">
        <f t="shared" si="0"/>
        <v>0</v>
      </c>
    </row>
    <row r="9" spans="1:11" hidden="1">
      <c r="A9" s="1">
        <v>176</v>
      </c>
      <c r="B9" s="1">
        <v>1</v>
      </c>
      <c r="C9" s="1">
        <v>0</v>
      </c>
      <c r="D9" s="1">
        <v>1</v>
      </c>
      <c r="E9" s="1">
        <v>2</v>
      </c>
      <c r="F9" s="1" t="s">
        <v>13</v>
      </c>
      <c r="G9" s="1" t="s">
        <v>12</v>
      </c>
      <c r="H9" s="1">
        <v>127</v>
      </c>
      <c r="I9" s="1">
        <v>0</v>
      </c>
      <c r="J9" s="1" t="s">
        <v>14</v>
      </c>
      <c r="K9">
        <f t="shared" si="0"/>
        <v>0</v>
      </c>
    </row>
    <row r="10" spans="1:11">
      <c r="A10" s="1">
        <v>104</v>
      </c>
      <c r="B10" s="1">
        <v>4</v>
      </c>
      <c r="C10" s="1">
        <v>0</v>
      </c>
      <c r="D10" s="1">
        <v>1</v>
      </c>
      <c r="E10" s="1">
        <v>1</v>
      </c>
      <c r="F10" s="1" t="s">
        <v>19</v>
      </c>
      <c r="G10" s="1" t="s">
        <v>12</v>
      </c>
      <c r="H10" s="1">
        <v>32640</v>
      </c>
      <c r="I10" s="1">
        <v>0</v>
      </c>
      <c r="J10" s="1" t="s">
        <v>20</v>
      </c>
      <c r="K10">
        <f t="shared" si="0"/>
        <v>1</v>
      </c>
    </row>
    <row r="11" spans="1:11" hidden="1">
      <c r="A11" s="1">
        <v>120</v>
      </c>
      <c r="B11" s="1">
        <v>0</v>
      </c>
      <c r="C11" s="1">
        <v>4</v>
      </c>
      <c r="D11" s="1">
        <v>1</v>
      </c>
      <c r="E11" s="1">
        <v>1</v>
      </c>
      <c r="F11" s="1" t="s">
        <v>12</v>
      </c>
      <c r="G11" s="1" t="s">
        <v>19</v>
      </c>
      <c r="H11" s="1">
        <v>0</v>
      </c>
      <c r="I11" s="1">
        <v>32640</v>
      </c>
      <c r="J11" s="1" t="s">
        <v>20</v>
      </c>
      <c r="K11">
        <f t="shared" si="0"/>
        <v>0</v>
      </c>
    </row>
    <row r="12" spans="1:11" hidden="1">
      <c r="A12" s="1">
        <v>145</v>
      </c>
      <c r="B12" s="1">
        <v>0</v>
      </c>
      <c r="C12" s="1">
        <v>4</v>
      </c>
      <c r="D12" s="1">
        <v>2</v>
      </c>
      <c r="E12" s="1">
        <v>1</v>
      </c>
      <c r="F12" s="1" t="s">
        <v>12</v>
      </c>
      <c r="G12" s="1" t="s">
        <v>19</v>
      </c>
      <c r="H12" s="1">
        <v>0</v>
      </c>
      <c r="I12" s="1">
        <v>32640</v>
      </c>
      <c r="J12" s="1" t="s">
        <v>20</v>
      </c>
      <c r="K12">
        <f t="shared" si="0"/>
        <v>0</v>
      </c>
    </row>
    <row r="13" spans="1:11" hidden="1">
      <c r="A13" s="1">
        <v>179</v>
      </c>
      <c r="B13" s="1">
        <v>4</v>
      </c>
      <c r="C13" s="1">
        <v>0</v>
      </c>
      <c r="D13" s="1">
        <v>1</v>
      </c>
      <c r="E13" s="1">
        <v>2</v>
      </c>
      <c r="F13" s="1" t="s">
        <v>19</v>
      </c>
      <c r="G13" s="1" t="s">
        <v>12</v>
      </c>
      <c r="H13" s="1">
        <v>32640</v>
      </c>
      <c r="I13" s="1">
        <v>0</v>
      </c>
      <c r="J13" s="1" t="s">
        <v>20</v>
      </c>
      <c r="K13">
        <f t="shared" si="0"/>
        <v>0</v>
      </c>
    </row>
    <row r="14" spans="1:11">
      <c r="A14" s="1">
        <v>102</v>
      </c>
      <c r="B14" s="1">
        <v>2</v>
      </c>
      <c r="C14" s="1">
        <v>0</v>
      </c>
      <c r="D14" s="1">
        <v>1</v>
      </c>
      <c r="E14" s="1">
        <v>1</v>
      </c>
      <c r="F14" s="1" t="s">
        <v>15</v>
      </c>
      <c r="G14" s="1" t="s">
        <v>12</v>
      </c>
      <c r="H14" s="1">
        <v>8355840</v>
      </c>
      <c r="I14" s="1">
        <v>0</v>
      </c>
      <c r="J14" s="1" t="s">
        <v>16</v>
      </c>
      <c r="K14">
        <f t="shared" si="0"/>
        <v>1</v>
      </c>
    </row>
    <row r="15" spans="1:11" hidden="1">
      <c r="A15" s="1">
        <v>110</v>
      </c>
      <c r="B15" s="1">
        <v>0</v>
      </c>
      <c r="C15" s="1">
        <v>2</v>
      </c>
      <c r="D15" s="1">
        <v>1</v>
      </c>
      <c r="E15" s="1">
        <v>1</v>
      </c>
      <c r="F15" s="1" t="s">
        <v>12</v>
      </c>
      <c r="G15" s="1" t="s">
        <v>15</v>
      </c>
      <c r="H15" s="1">
        <v>0</v>
      </c>
      <c r="I15" s="1">
        <v>8355840</v>
      </c>
      <c r="J15" s="1" t="s">
        <v>16</v>
      </c>
      <c r="K15">
        <f t="shared" si="0"/>
        <v>0</v>
      </c>
    </row>
    <row r="16" spans="1:11" hidden="1">
      <c r="A16" s="1">
        <v>135</v>
      </c>
      <c r="B16" s="1">
        <v>0</v>
      </c>
      <c r="C16" s="1">
        <v>2</v>
      </c>
      <c r="D16" s="1">
        <v>2</v>
      </c>
      <c r="E16" s="1">
        <v>1</v>
      </c>
      <c r="F16" s="1" t="s">
        <v>12</v>
      </c>
      <c r="G16" s="1" t="s">
        <v>15</v>
      </c>
      <c r="H16" s="1">
        <v>0</v>
      </c>
      <c r="I16" s="1">
        <v>8355840</v>
      </c>
      <c r="J16" s="1" t="s">
        <v>16</v>
      </c>
      <c r="K16">
        <f t="shared" si="0"/>
        <v>0</v>
      </c>
    </row>
    <row r="17" spans="1:11" hidden="1">
      <c r="A17" s="1">
        <v>177</v>
      </c>
      <c r="B17" s="1">
        <v>2</v>
      </c>
      <c r="C17" s="1">
        <v>0</v>
      </c>
      <c r="D17" s="1">
        <v>1</v>
      </c>
      <c r="E17" s="1">
        <v>2</v>
      </c>
      <c r="F17" s="1" t="s">
        <v>15</v>
      </c>
      <c r="G17" s="1" t="s">
        <v>12</v>
      </c>
      <c r="H17" s="1">
        <v>8355840</v>
      </c>
      <c r="I17" s="1">
        <v>0</v>
      </c>
      <c r="J17" s="1" t="s">
        <v>16</v>
      </c>
      <c r="K17">
        <f t="shared" si="0"/>
        <v>0</v>
      </c>
    </row>
    <row r="18" spans="1:11">
      <c r="A18" s="1">
        <v>103</v>
      </c>
      <c r="B18" s="1">
        <v>3</v>
      </c>
      <c r="C18" s="1">
        <v>0</v>
      </c>
      <c r="D18" s="1">
        <v>1</v>
      </c>
      <c r="E18" s="1">
        <v>1</v>
      </c>
      <c r="F18" s="1" t="s">
        <v>17</v>
      </c>
      <c r="G18" s="1" t="s">
        <v>12</v>
      </c>
      <c r="H18" s="1">
        <v>8355967</v>
      </c>
      <c r="I18" s="1">
        <v>0</v>
      </c>
      <c r="J18" s="1" t="s">
        <v>18</v>
      </c>
      <c r="K18">
        <f t="shared" si="0"/>
        <v>1</v>
      </c>
    </row>
    <row r="19" spans="1:11" hidden="1">
      <c r="A19" s="1">
        <v>107</v>
      </c>
      <c r="B19" s="1">
        <v>2</v>
      </c>
      <c r="C19" s="1">
        <v>1</v>
      </c>
      <c r="D19" s="1">
        <v>1</v>
      </c>
      <c r="E19" s="1">
        <v>1</v>
      </c>
      <c r="F19" s="1" t="s">
        <v>15</v>
      </c>
      <c r="G19" s="1" t="s">
        <v>13</v>
      </c>
      <c r="H19" s="1">
        <v>8355840</v>
      </c>
      <c r="I19" s="1">
        <v>127</v>
      </c>
      <c r="J19" s="1" t="s">
        <v>18</v>
      </c>
      <c r="K19">
        <f t="shared" si="0"/>
        <v>0</v>
      </c>
    </row>
    <row r="20" spans="1:11" hidden="1">
      <c r="A20" s="1">
        <v>111</v>
      </c>
      <c r="B20" s="1">
        <v>1</v>
      </c>
      <c r="C20" s="1">
        <v>2</v>
      </c>
      <c r="D20" s="1">
        <v>1</v>
      </c>
      <c r="E20" s="1">
        <v>1</v>
      </c>
      <c r="F20" s="1" t="s">
        <v>13</v>
      </c>
      <c r="G20" s="1" t="s">
        <v>15</v>
      </c>
      <c r="H20" s="1">
        <v>127</v>
      </c>
      <c r="I20" s="1">
        <v>8355840</v>
      </c>
      <c r="J20" s="1" t="s">
        <v>18</v>
      </c>
      <c r="K20">
        <f t="shared" si="0"/>
        <v>0</v>
      </c>
    </row>
    <row r="21" spans="1:11" hidden="1">
      <c r="A21" s="1">
        <v>115</v>
      </c>
      <c r="B21" s="1">
        <v>0</v>
      </c>
      <c r="C21" s="1">
        <v>3</v>
      </c>
      <c r="D21" s="1">
        <v>1</v>
      </c>
      <c r="E21" s="1">
        <v>1</v>
      </c>
      <c r="F21" s="1" t="s">
        <v>12</v>
      </c>
      <c r="G21" s="1" t="s">
        <v>17</v>
      </c>
      <c r="H21" s="1">
        <v>0</v>
      </c>
      <c r="I21" s="1">
        <v>8355967</v>
      </c>
      <c r="J21" s="1" t="s">
        <v>18</v>
      </c>
      <c r="K21">
        <f t="shared" si="0"/>
        <v>0</v>
      </c>
    </row>
    <row r="22" spans="1:11" hidden="1">
      <c r="A22" s="1">
        <v>140</v>
      </c>
      <c r="B22" s="1">
        <v>0</v>
      </c>
      <c r="C22" s="1">
        <v>3</v>
      </c>
      <c r="D22" s="1">
        <v>2</v>
      </c>
      <c r="E22" s="1">
        <v>1</v>
      </c>
      <c r="F22" s="1" t="s">
        <v>12</v>
      </c>
      <c r="G22" s="1" t="s">
        <v>17</v>
      </c>
      <c r="H22" s="1">
        <v>0</v>
      </c>
      <c r="I22" s="1">
        <v>8355967</v>
      </c>
      <c r="J22" s="1" t="s">
        <v>18</v>
      </c>
      <c r="K22">
        <f t="shared" si="0"/>
        <v>0</v>
      </c>
    </row>
    <row r="23" spans="1:11" hidden="1">
      <c r="A23" s="1">
        <v>178</v>
      </c>
      <c r="B23" s="1">
        <v>3</v>
      </c>
      <c r="C23" s="1">
        <v>0</v>
      </c>
      <c r="D23" s="1">
        <v>1</v>
      </c>
      <c r="E23" s="1">
        <v>2</v>
      </c>
      <c r="F23" s="1" t="s">
        <v>17</v>
      </c>
      <c r="G23" s="1" t="s">
        <v>12</v>
      </c>
      <c r="H23" s="1">
        <v>8355967</v>
      </c>
      <c r="I23" s="1">
        <v>0</v>
      </c>
      <c r="J23" s="1" t="s">
        <v>18</v>
      </c>
      <c r="K23">
        <f t="shared" si="0"/>
        <v>0</v>
      </c>
    </row>
    <row r="24" spans="1:11">
      <c r="A24" s="1">
        <v>108</v>
      </c>
      <c r="B24" s="1">
        <v>3</v>
      </c>
      <c r="C24" s="1">
        <v>1</v>
      </c>
      <c r="D24" s="1">
        <v>1</v>
      </c>
      <c r="E24" s="1">
        <v>1</v>
      </c>
      <c r="F24" s="1" t="s">
        <v>17</v>
      </c>
      <c r="G24" s="1" t="s">
        <v>13</v>
      </c>
      <c r="H24" s="1">
        <v>8355967</v>
      </c>
      <c r="I24" s="1">
        <v>127</v>
      </c>
      <c r="J24" s="1" t="s">
        <v>25</v>
      </c>
      <c r="K24">
        <f t="shared" si="0"/>
        <v>1</v>
      </c>
    </row>
    <row r="25" spans="1:11" hidden="1">
      <c r="A25" s="1">
        <v>116</v>
      </c>
      <c r="B25" s="1">
        <v>1</v>
      </c>
      <c r="C25" s="1">
        <v>3</v>
      </c>
      <c r="D25" s="1">
        <v>1</v>
      </c>
      <c r="E25" s="1">
        <v>1</v>
      </c>
      <c r="F25" s="1" t="s">
        <v>13</v>
      </c>
      <c r="G25" s="1" t="s">
        <v>17</v>
      </c>
      <c r="H25" s="1">
        <v>127</v>
      </c>
      <c r="I25" s="1">
        <v>8355967</v>
      </c>
      <c r="J25" s="1" t="s">
        <v>25</v>
      </c>
      <c r="K25">
        <f t="shared" si="0"/>
        <v>0</v>
      </c>
    </row>
    <row r="26" spans="1:11" hidden="1">
      <c r="A26" s="1">
        <v>136</v>
      </c>
      <c r="B26" s="1">
        <v>1</v>
      </c>
      <c r="C26" s="1">
        <v>2</v>
      </c>
      <c r="D26" s="1">
        <v>2</v>
      </c>
      <c r="E26" s="1">
        <v>1</v>
      </c>
      <c r="F26" s="1" t="s">
        <v>21</v>
      </c>
      <c r="G26" s="1" t="s">
        <v>15</v>
      </c>
      <c r="H26" s="1">
        <v>255</v>
      </c>
      <c r="I26" s="1">
        <v>8355840</v>
      </c>
      <c r="J26" s="1" t="s">
        <v>25</v>
      </c>
      <c r="K26">
        <f t="shared" si="0"/>
        <v>0</v>
      </c>
    </row>
    <row r="27" spans="1:11" hidden="1">
      <c r="A27" s="1">
        <v>182</v>
      </c>
      <c r="B27" s="1">
        <v>2</v>
      </c>
      <c r="C27" s="1">
        <v>1</v>
      </c>
      <c r="D27" s="1">
        <v>1</v>
      </c>
      <c r="E27" s="1">
        <v>2</v>
      </c>
      <c r="F27" s="1" t="s">
        <v>15</v>
      </c>
      <c r="G27" s="1" t="s">
        <v>21</v>
      </c>
      <c r="H27" s="1">
        <v>8355840</v>
      </c>
      <c r="I27" s="1">
        <v>255</v>
      </c>
      <c r="J27" s="1" t="s">
        <v>25</v>
      </c>
      <c r="K27">
        <f t="shared" si="0"/>
        <v>0</v>
      </c>
    </row>
    <row r="28" spans="1:11">
      <c r="A28" s="1">
        <v>141</v>
      </c>
      <c r="B28" s="1">
        <v>1</v>
      </c>
      <c r="C28" s="1">
        <v>3</v>
      </c>
      <c r="D28" s="1">
        <v>2</v>
      </c>
      <c r="E28" s="1">
        <v>1</v>
      </c>
      <c r="F28" s="1" t="s">
        <v>21</v>
      </c>
      <c r="G28" s="1" t="s">
        <v>17</v>
      </c>
      <c r="H28" s="1">
        <v>255</v>
      </c>
      <c r="I28" s="1">
        <v>8355967</v>
      </c>
      <c r="J28" s="1" t="s">
        <v>36</v>
      </c>
      <c r="K28">
        <f t="shared" si="0"/>
        <v>1</v>
      </c>
    </row>
    <row r="29" spans="1:11" hidden="1">
      <c r="A29" s="1">
        <v>183</v>
      </c>
      <c r="B29" s="1">
        <v>3</v>
      </c>
      <c r="C29" s="1">
        <v>1</v>
      </c>
      <c r="D29" s="1">
        <v>1</v>
      </c>
      <c r="E29" s="1">
        <v>2</v>
      </c>
      <c r="F29" s="1" t="s">
        <v>17</v>
      </c>
      <c r="G29" s="1" t="s">
        <v>21</v>
      </c>
      <c r="H29" s="1">
        <v>8355967</v>
      </c>
      <c r="I29" s="1">
        <v>255</v>
      </c>
      <c r="J29" s="1" t="s">
        <v>36</v>
      </c>
      <c r="K29">
        <f t="shared" si="0"/>
        <v>0</v>
      </c>
    </row>
    <row r="30" spans="1:11">
      <c r="A30" s="1">
        <v>109</v>
      </c>
      <c r="B30" s="1">
        <v>4</v>
      </c>
      <c r="C30" s="1">
        <v>1</v>
      </c>
      <c r="D30" s="1">
        <v>1</v>
      </c>
      <c r="E30" s="1">
        <v>1</v>
      </c>
      <c r="F30" s="1" t="s">
        <v>19</v>
      </c>
      <c r="G30" s="1" t="s">
        <v>13</v>
      </c>
      <c r="H30" s="1">
        <v>32640</v>
      </c>
      <c r="I30" s="1">
        <v>127</v>
      </c>
      <c r="J30" s="1" t="s">
        <v>26</v>
      </c>
      <c r="K30">
        <f t="shared" si="0"/>
        <v>1</v>
      </c>
    </row>
    <row r="31" spans="1:11" hidden="1">
      <c r="A31" s="1">
        <v>121</v>
      </c>
      <c r="B31" s="1">
        <v>1</v>
      </c>
      <c r="C31" s="1">
        <v>4</v>
      </c>
      <c r="D31" s="1">
        <v>1</v>
      </c>
      <c r="E31" s="1">
        <v>1</v>
      </c>
      <c r="F31" s="1" t="s">
        <v>13</v>
      </c>
      <c r="G31" s="1" t="s">
        <v>19</v>
      </c>
      <c r="H31" s="1">
        <v>127</v>
      </c>
      <c r="I31" s="1">
        <v>32640</v>
      </c>
      <c r="J31" s="1" t="s">
        <v>26</v>
      </c>
      <c r="K31">
        <f t="shared" si="0"/>
        <v>0</v>
      </c>
    </row>
    <row r="32" spans="1:11">
      <c r="A32" s="1">
        <v>114</v>
      </c>
      <c r="B32" s="1">
        <v>4</v>
      </c>
      <c r="C32" s="1">
        <v>2</v>
      </c>
      <c r="D32" s="1">
        <v>1</v>
      </c>
      <c r="E32" s="1">
        <v>1</v>
      </c>
      <c r="F32" s="1" t="s">
        <v>19</v>
      </c>
      <c r="G32" s="1" t="s">
        <v>15</v>
      </c>
      <c r="H32" s="1">
        <v>32640</v>
      </c>
      <c r="I32" s="1">
        <v>8355840</v>
      </c>
      <c r="J32" s="1" t="s">
        <v>28</v>
      </c>
      <c r="K32">
        <f t="shared" si="0"/>
        <v>1</v>
      </c>
    </row>
    <row r="33" spans="1:11" hidden="1">
      <c r="A33" s="1">
        <v>122</v>
      </c>
      <c r="B33" s="1">
        <v>2</v>
      </c>
      <c r="C33" s="1">
        <v>4</v>
      </c>
      <c r="D33" s="1">
        <v>1</v>
      </c>
      <c r="E33" s="1">
        <v>1</v>
      </c>
      <c r="F33" s="1" t="s">
        <v>15</v>
      </c>
      <c r="G33" s="1" t="s">
        <v>19</v>
      </c>
      <c r="H33" s="1">
        <v>8355840</v>
      </c>
      <c r="I33" s="1">
        <v>32640</v>
      </c>
      <c r="J33" s="1" t="s">
        <v>28</v>
      </c>
      <c r="K33">
        <f t="shared" si="0"/>
        <v>0</v>
      </c>
    </row>
    <row r="34" spans="1:11">
      <c r="A34" s="1">
        <v>119</v>
      </c>
      <c r="B34" s="1">
        <v>4</v>
      </c>
      <c r="C34" s="1">
        <v>3</v>
      </c>
      <c r="D34" s="1">
        <v>1</v>
      </c>
      <c r="E34" s="1">
        <v>1</v>
      </c>
      <c r="F34" s="1" t="s">
        <v>19</v>
      </c>
      <c r="G34" s="1" t="s">
        <v>17</v>
      </c>
      <c r="H34" s="1">
        <v>32640</v>
      </c>
      <c r="I34" s="1">
        <v>8355967</v>
      </c>
      <c r="J34" s="1" t="s">
        <v>29</v>
      </c>
      <c r="K34">
        <f t="shared" si="0"/>
        <v>1</v>
      </c>
    </row>
    <row r="35" spans="1:11" hidden="1">
      <c r="A35" s="1">
        <v>123</v>
      </c>
      <c r="B35" s="1">
        <v>3</v>
      </c>
      <c r="C35" s="1">
        <v>4</v>
      </c>
      <c r="D35" s="1">
        <v>1</v>
      </c>
      <c r="E35" s="1">
        <v>1</v>
      </c>
      <c r="F35" s="1" t="s">
        <v>17</v>
      </c>
      <c r="G35" s="1" t="s">
        <v>19</v>
      </c>
      <c r="H35" s="1">
        <v>8355967</v>
      </c>
      <c r="I35" s="1">
        <v>32640</v>
      </c>
      <c r="J35" s="1" t="s">
        <v>29</v>
      </c>
      <c r="K35">
        <f t="shared" si="0"/>
        <v>0</v>
      </c>
    </row>
    <row r="36" spans="1:11">
      <c r="A36" s="1">
        <v>146</v>
      </c>
      <c r="B36" s="1">
        <v>1</v>
      </c>
      <c r="C36" s="1">
        <v>4</v>
      </c>
      <c r="D36" s="1">
        <v>2</v>
      </c>
      <c r="E36" s="1">
        <v>1</v>
      </c>
      <c r="F36" s="1" t="s">
        <v>21</v>
      </c>
      <c r="G36" s="1" t="s">
        <v>19</v>
      </c>
      <c r="H36" s="1">
        <v>255</v>
      </c>
      <c r="I36" s="1">
        <v>32640</v>
      </c>
      <c r="J36" s="1" t="s">
        <v>40</v>
      </c>
      <c r="K36">
        <f t="shared" si="0"/>
        <v>1</v>
      </c>
    </row>
    <row r="37" spans="1:11" hidden="1">
      <c r="A37" s="1">
        <v>184</v>
      </c>
      <c r="B37" s="1">
        <v>4</v>
      </c>
      <c r="C37" s="1">
        <v>1</v>
      </c>
      <c r="D37" s="1">
        <v>1</v>
      </c>
      <c r="E37" s="1">
        <v>2</v>
      </c>
      <c r="F37" s="1" t="s">
        <v>19</v>
      </c>
      <c r="G37" s="1" t="s">
        <v>21</v>
      </c>
      <c r="H37" s="1">
        <v>32640</v>
      </c>
      <c r="I37" s="1">
        <v>255</v>
      </c>
      <c r="J37" s="1" t="s">
        <v>40</v>
      </c>
      <c r="K37">
        <f t="shared" si="0"/>
        <v>0</v>
      </c>
    </row>
    <row r="38" spans="1:11">
      <c r="A38" s="1">
        <v>139</v>
      </c>
      <c r="B38" s="1">
        <v>4</v>
      </c>
      <c r="C38" s="1">
        <v>2</v>
      </c>
      <c r="D38" s="1">
        <v>2</v>
      </c>
      <c r="E38" s="1">
        <v>1</v>
      </c>
      <c r="F38" s="1" t="s">
        <v>24</v>
      </c>
      <c r="G38" s="1" t="s">
        <v>15</v>
      </c>
      <c r="H38" s="1">
        <v>65280</v>
      </c>
      <c r="I38" s="1">
        <v>8355840</v>
      </c>
      <c r="J38" s="1" t="s">
        <v>35</v>
      </c>
      <c r="K38">
        <f t="shared" si="0"/>
        <v>1</v>
      </c>
    </row>
    <row r="39" spans="1:11" hidden="1">
      <c r="A39" s="1">
        <v>197</v>
      </c>
      <c r="B39" s="1">
        <v>2</v>
      </c>
      <c r="C39" s="1">
        <v>4</v>
      </c>
      <c r="D39" s="1">
        <v>1</v>
      </c>
      <c r="E39" s="1">
        <v>2</v>
      </c>
      <c r="F39" s="1" t="s">
        <v>15</v>
      </c>
      <c r="G39" s="1" t="s">
        <v>24</v>
      </c>
      <c r="H39" s="1">
        <v>8355840</v>
      </c>
      <c r="I39" s="1">
        <v>65280</v>
      </c>
      <c r="J39" s="1" t="s">
        <v>35</v>
      </c>
      <c r="K39">
        <f t="shared" si="0"/>
        <v>0</v>
      </c>
    </row>
    <row r="40" spans="1:11">
      <c r="A40" s="1">
        <v>144</v>
      </c>
      <c r="B40" s="1">
        <v>4</v>
      </c>
      <c r="C40" s="1">
        <v>3</v>
      </c>
      <c r="D40" s="1">
        <v>2</v>
      </c>
      <c r="E40" s="1">
        <v>1</v>
      </c>
      <c r="F40" s="1" t="s">
        <v>24</v>
      </c>
      <c r="G40" s="1" t="s">
        <v>17</v>
      </c>
      <c r="H40" s="1">
        <v>65280</v>
      </c>
      <c r="I40" s="1">
        <v>8355967</v>
      </c>
      <c r="J40" s="1" t="s">
        <v>39</v>
      </c>
      <c r="K40">
        <f t="shared" si="0"/>
        <v>1</v>
      </c>
    </row>
    <row r="41" spans="1:11" hidden="1">
      <c r="A41" s="1">
        <v>198</v>
      </c>
      <c r="B41" s="1">
        <v>3</v>
      </c>
      <c r="C41" s="1">
        <v>4</v>
      </c>
      <c r="D41" s="1">
        <v>1</v>
      </c>
      <c r="E41" s="1">
        <v>2</v>
      </c>
      <c r="F41" s="1" t="s">
        <v>17</v>
      </c>
      <c r="G41" s="1" t="s">
        <v>24</v>
      </c>
      <c r="H41" s="1">
        <v>8355967</v>
      </c>
      <c r="I41" s="1">
        <v>65280</v>
      </c>
      <c r="J41" s="1" t="s">
        <v>39</v>
      </c>
      <c r="K41">
        <f t="shared" si="0"/>
        <v>0</v>
      </c>
    </row>
    <row r="42" spans="1:11">
      <c r="A42" s="1">
        <v>106</v>
      </c>
      <c r="B42" s="1">
        <v>1</v>
      </c>
      <c r="C42" s="1">
        <v>1</v>
      </c>
      <c r="D42" s="1">
        <v>1</v>
      </c>
      <c r="E42" s="1">
        <v>1</v>
      </c>
      <c r="F42" s="1" t="s">
        <v>13</v>
      </c>
      <c r="G42" s="1" t="s">
        <v>13</v>
      </c>
      <c r="H42" s="1">
        <v>127</v>
      </c>
      <c r="I42" s="1">
        <v>127</v>
      </c>
      <c r="J42" s="1" t="s">
        <v>13</v>
      </c>
      <c r="K42">
        <f t="shared" si="0"/>
        <v>1</v>
      </c>
    </row>
    <row r="43" spans="1:11" hidden="1">
      <c r="A43" s="1">
        <v>126</v>
      </c>
      <c r="B43" s="1">
        <v>1</v>
      </c>
      <c r="C43" s="1">
        <v>0</v>
      </c>
      <c r="D43" s="1">
        <v>2</v>
      </c>
      <c r="E43" s="1">
        <v>1</v>
      </c>
      <c r="F43" s="1" t="s">
        <v>21</v>
      </c>
      <c r="G43" s="1" t="s">
        <v>12</v>
      </c>
      <c r="H43" s="1">
        <v>255</v>
      </c>
      <c r="I43" s="1">
        <v>0</v>
      </c>
      <c r="J43" s="1" t="s">
        <v>13</v>
      </c>
      <c r="K43">
        <f t="shared" si="0"/>
        <v>0</v>
      </c>
    </row>
    <row r="44" spans="1:11" hidden="1">
      <c r="A44" s="1">
        <v>180</v>
      </c>
      <c r="B44" s="1">
        <v>0</v>
      </c>
      <c r="C44" s="1">
        <v>1</v>
      </c>
      <c r="D44" s="1">
        <v>1</v>
      </c>
      <c r="E44" s="1">
        <v>2</v>
      </c>
      <c r="F44" s="1" t="s">
        <v>12</v>
      </c>
      <c r="G44" s="1" t="s">
        <v>21</v>
      </c>
      <c r="H44" s="1">
        <v>0</v>
      </c>
      <c r="I44" s="1">
        <v>255</v>
      </c>
      <c r="J44" s="1" t="s">
        <v>13</v>
      </c>
      <c r="K44">
        <f t="shared" si="0"/>
        <v>0</v>
      </c>
    </row>
    <row r="45" spans="1:11" hidden="1">
      <c r="A45" s="1">
        <v>201</v>
      </c>
      <c r="B45" s="1">
        <v>1</v>
      </c>
      <c r="C45" s="1">
        <v>0</v>
      </c>
      <c r="D45" s="1">
        <v>2</v>
      </c>
      <c r="E45" s="1">
        <v>2</v>
      </c>
      <c r="F45" s="1" t="s">
        <v>21</v>
      </c>
      <c r="G45" s="1" t="s">
        <v>12</v>
      </c>
      <c r="H45" s="1">
        <v>255</v>
      </c>
      <c r="I45" s="1">
        <v>0</v>
      </c>
      <c r="J45" s="1" t="s">
        <v>13</v>
      </c>
      <c r="K45">
        <f t="shared" si="0"/>
        <v>0</v>
      </c>
    </row>
    <row r="46" spans="1:11" hidden="1">
      <c r="A46" s="1">
        <v>205</v>
      </c>
      <c r="B46" s="1">
        <v>0</v>
      </c>
      <c r="C46" s="1">
        <v>1</v>
      </c>
      <c r="D46" s="1">
        <v>2</v>
      </c>
      <c r="E46" s="1">
        <v>2</v>
      </c>
      <c r="F46" s="1" t="s">
        <v>12</v>
      </c>
      <c r="G46" s="1" t="s">
        <v>21</v>
      </c>
      <c r="H46" s="1">
        <v>0</v>
      </c>
      <c r="I46" s="1">
        <v>255</v>
      </c>
      <c r="J46" s="1" t="s">
        <v>13</v>
      </c>
      <c r="K46">
        <f t="shared" si="0"/>
        <v>0</v>
      </c>
    </row>
    <row r="47" spans="1:11">
      <c r="A47" s="1">
        <v>124</v>
      </c>
      <c r="B47" s="1">
        <v>4</v>
      </c>
      <c r="C47" s="1">
        <v>4</v>
      </c>
      <c r="D47" s="1">
        <v>1</v>
      </c>
      <c r="E47" s="1">
        <v>1</v>
      </c>
      <c r="F47" s="1" t="s">
        <v>19</v>
      </c>
      <c r="G47" s="1" t="s">
        <v>19</v>
      </c>
      <c r="H47" s="1">
        <v>32640</v>
      </c>
      <c r="I47" s="1">
        <v>32640</v>
      </c>
      <c r="J47" s="1" t="s">
        <v>19</v>
      </c>
      <c r="K47">
        <f t="shared" si="0"/>
        <v>1</v>
      </c>
    </row>
    <row r="48" spans="1:11" hidden="1">
      <c r="A48" s="1">
        <v>129</v>
      </c>
      <c r="B48" s="1">
        <v>4</v>
      </c>
      <c r="C48" s="1">
        <v>0</v>
      </c>
      <c r="D48" s="1">
        <v>2</v>
      </c>
      <c r="E48" s="1">
        <v>1</v>
      </c>
      <c r="F48" s="1" t="s">
        <v>24</v>
      </c>
      <c r="G48" s="1" t="s">
        <v>12</v>
      </c>
      <c r="H48" s="1">
        <v>65280</v>
      </c>
      <c r="I48" s="1">
        <v>0</v>
      </c>
      <c r="J48" s="1" t="s">
        <v>19</v>
      </c>
      <c r="K48">
        <f t="shared" si="0"/>
        <v>0</v>
      </c>
    </row>
    <row r="49" spans="1:11" hidden="1">
      <c r="A49" s="1">
        <v>195</v>
      </c>
      <c r="B49" s="1">
        <v>0</v>
      </c>
      <c r="C49" s="1">
        <v>4</v>
      </c>
      <c r="D49" s="1">
        <v>1</v>
      </c>
      <c r="E49" s="1">
        <v>2</v>
      </c>
      <c r="F49" s="1" t="s">
        <v>12</v>
      </c>
      <c r="G49" s="1" t="s">
        <v>24</v>
      </c>
      <c r="H49" s="1">
        <v>0</v>
      </c>
      <c r="I49" s="1">
        <v>65280</v>
      </c>
      <c r="J49" s="1" t="s">
        <v>19</v>
      </c>
      <c r="K49">
        <f t="shared" si="0"/>
        <v>0</v>
      </c>
    </row>
    <row r="50" spans="1:11" hidden="1">
      <c r="A50" s="1">
        <v>204</v>
      </c>
      <c r="B50" s="1">
        <v>4</v>
      </c>
      <c r="C50" s="1">
        <v>0</v>
      </c>
      <c r="D50" s="1">
        <v>2</v>
      </c>
      <c r="E50" s="1">
        <v>2</v>
      </c>
      <c r="F50" s="1" t="s">
        <v>24</v>
      </c>
      <c r="G50" s="1" t="s">
        <v>12</v>
      </c>
      <c r="H50" s="1">
        <v>65280</v>
      </c>
      <c r="I50" s="1">
        <v>0</v>
      </c>
      <c r="J50" s="1" t="s">
        <v>19</v>
      </c>
      <c r="K50">
        <f t="shared" si="0"/>
        <v>0</v>
      </c>
    </row>
    <row r="51" spans="1:11" hidden="1">
      <c r="A51" s="1">
        <v>220</v>
      </c>
      <c r="B51" s="1">
        <v>0</v>
      </c>
      <c r="C51" s="1">
        <v>4</v>
      </c>
      <c r="D51" s="1">
        <v>2</v>
      </c>
      <c r="E51" s="1">
        <v>2</v>
      </c>
      <c r="F51" s="1" t="s">
        <v>12</v>
      </c>
      <c r="G51" s="1" t="s">
        <v>24</v>
      </c>
      <c r="H51" s="1">
        <v>0</v>
      </c>
      <c r="I51" s="1">
        <v>65280</v>
      </c>
      <c r="J51" s="1" t="s">
        <v>19</v>
      </c>
      <c r="K51">
        <f t="shared" si="0"/>
        <v>0</v>
      </c>
    </row>
    <row r="52" spans="1:11">
      <c r="A52" s="1">
        <v>112</v>
      </c>
      <c r="B52" s="1">
        <v>2</v>
      </c>
      <c r="C52" s="1">
        <v>2</v>
      </c>
      <c r="D52" s="1">
        <v>1</v>
      </c>
      <c r="E52" s="1">
        <v>1</v>
      </c>
      <c r="F52" s="1" t="s">
        <v>15</v>
      </c>
      <c r="G52" s="1" t="s">
        <v>15</v>
      </c>
      <c r="H52" s="1">
        <v>8355840</v>
      </c>
      <c r="I52" s="1">
        <v>8355840</v>
      </c>
      <c r="J52" s="1" t="s">
        <v>15</v>
      </c>
      <c r="K52">
        <f t="shared" si="0"/>
        <v>1</v>
      </c>
    </row>
    <row r="53" spans="1:11" hidden="1">
      <c r="A53" s="1">
        <v>127</v>
      </c>
      <c r="B53" s="1">
        <v>2</v>
      </c>
      <c r="C53" s="1">
        <v>0</v>
      </c>
      <c r="D53" s="1">
        <v>2</v>
      </c>
      <c r="E53" s="1">
        <v>1</v>
      </c>
      <c r="F53" s="1" t="s">
        <v>22</v>
      </c>
      <c r="G53" s="1" t="s">
        <v>12</v>
      </c>
      <c r="H53" s="1">
        <v>16711680</v>
      </c>
      <c r="I53" s="1">
        <v>0</v>
      </c>
      <c r="J53" s="1" t="s">
        <v>15</v>
      </c>
      <c r="K53">
        <f t="shared" si="0"/>
        <v>0</v>
      </c>
    </row>
    <row r="54" spans="1:11" hidden="1">
      <c r="A54" s="1">
        <v>185</v>
      </c>
      <c r="B54" s="1">
        <v>0</v>
      </c>
      <c r="C54" s="1">
        <v>2</v>
      </c>
      <c r="D54" s="1">
        <v>1</v>
      </c>
      <c r="E54" s="1">
        <v>2</v>
      </c>
      <c r="F54" s="1" t="s">
        <v>12</v>
      </c>
      <c r="G54" s="1" t="s">
        <v>22</v>
      </c>
      <c r="H54" s="1">
        <v>0</v>
      </c>
      <c r="I54" s="1">
        <v>16711680</v>
      </c>
      <c r="J54" s="1" t="s">
        <v>15</v>
      </c>
      <c r="K54">
        <f t="shared" si="0"/>
        <v>0</v>
      </c>
    </row>
    <row r="55" spans="1:11" hidden="1">
      <c r="A55" s="1">
        <v>202</v>
      </c>
      <c r="B55" s="1">
        <v>2</v>
      </c>
      <c r="C55" s="1">
        <v>0</v>
      </c>
      <c r="D55" s="1">
        <v>2</v>
      </c>
      <c r="E55" s="1">
        <v>2</v>
      </c>
      <c r="F55" s="1" t="s">
        <v>22</v>
      </c>
      <c r="G55" s="1" t="s">
        <v>12</v>
      </c>
      <c r="H55" s="1">
        <v>16711680</v>
      </c>
      <c r="I55" s="1">
        <v>0</v>
      </c>
      <c r="J55" s="1" t="s">
        <v>15</v>
      </c>
      <c r="K55">
        <f t="shared" si="0"/>
        <v>0</v>
      </c>
    </row>
    <row r="56" spans="1:11" hidden="1">
      <c r="A56" s="1">
        <v>210</v>
      </c>
      <c r="B56" s="1">
        <v>0</v>
      </c>
      <c r="C56" s="1">
        <v>2</v>
      </c>
      <c r="D56" s="1">
        <v>2</v>
      </c>
      <c r="E56" s="1">
        <v>2</v>
      </c>
      <c r="F56" s="1" t="s">
        <v>12</v>
      </c>
      <c r="G56" s="1" t="s">
        <v>22</v>
      </c>
      <c r="H56" s="1">
        <v>0</v>
      </c>
      <c r="I56" s="1">
        <v>16711680</v>
      </c>
      <c r="J56" s="1" t="s">
        <v>15</v>
      </c>
      <c r="K56">
        <f t="shared" si="0"/>
        <v>0</v>
      </c>
    </row>
    <row r="57" spans="1:11">
      <c r="A57" s="1">
        <v>113</v>
      </c>
      <c r="B57" s="1">
        <v>3</v>
      </c>
      <c r="C57" s="1">
        <v>2</v>
      </c>
      <c r="D57" s="1">
        <v>1</v>
      </c>
      <c r="E57" s="1">
        <v>1</v>
      </c>
      <c r="F57" s="1" t="s">
        <v>17</v>
      </c>
      <c r="G57" s="1" t="s">
        <v>15</v>
      </c>
      <c r="H57" s="1">
        <v>8355967</v>
      </c>
      <c r="I57" s="1">
        <v>8355840</v>
      </c>
      <c r="J57" s="1" t="s">
        <v>27</v>
      </c>
      <c r="K57">
        <f t="shared" si="0"/>
        <v>1</v>
      </c>
    </row>
    <row r="58" spans="1:11" hidden="1">
      <c r="A58" s="1">
        <v>117</v>
      </c>
      <c r="B58" s="1">
        <v>2</v>
      </c>
      <c r="C58" s="1">
        <v>3</v>
      </c>
      <c r="D58" s="1">
        <v>1</v>
      </c>
      <c r="E58" s="1">
        <v>1</v>
      </c>
      <c r="F58" s="1" t="s">
        <v>15</v>
      </c>
      <c r="G58" s="1" t="s">
        <v>17</v>
      </c>
      <c r="H58" s="1">
        <v>8355840</v>
      </c>
      <c r="I58" s="1">
        <v>8355967</v>
      </c>
      <c r="J58" s="1" t="s">
        <v>27</v>
      </c>
      <c r="K58">
        <f t="shared" si="0"/>
        <v>0</v>
      </c>
    </row>
    <row r="59" spans="1:11" hidden="1">
      <c r="A59" s="1">
        <v>132</v>
      </c>
      <c r="B59" s="1">
        <v>2</v>
      </c>
      <c r="C59" s="1">
        <v>1</v>
      </c>
      <c r="D59" s="1">
        <v>2</v>
      </c>
      <c r="E59" s="1">
        <v>1</v>
      </c>
      <c r="F59" s="1" t="s">
        <v>22</v>
      </c>
      <c r="G59" s="1" t="s">
        <v>13</v>
      </c>
      <c r="H59" s="1">
        <v>16711680</v>
      </c>
      <c r="I59" s="1">
        <v>127</v>
      </c>
      <c r="J59" s="1" t="s">
        <v>27</v>
      </c>
      <c r="K59">
        <f t="shared" si="0"/>
        <v>0</v>
      </c>
    </row>
    <row r="60" spans="1:11" hidden="1">
      <c r="A60" s="1">
        <v>186</v>
      </c>
      <c r="B60" s="1">
        <v>1</v>
      </c>
      <c r="C60" s="1">
        <v>2</v>
      </c>
      <c r="D60" s="1">
        <v>1</v>
      </c>
      <c r="E60" s="1">
        <v>2</v>
      </c>
      <c r="F60" s="1" t="s">
        <v>13</v>
      </c>
      <c r="G60" s="1" t="s">
        <v>22</v>
      </c>
      <c r="H60" s="1">
        <v>127</v>
      </c>
      <c r="I60" s="1">
        <v>16711680</v>
      </c>
      <c r="J60" s="1" t="s">
        <v>27</v>
      </c>
      <c r="K60">
        <f t="shared" si="0"/>
        <v>0</v>
      </c>
    </row>
    <row r="61" spans="1:11">
      <c r="A61" s="1">
        <v>118</v>
      </c>
      <c r="B61" s="1">
        <v>3</v>
      </c>
      <c r="C61" s="1">
        <v>3</v>
      </c>
      <c r="D61" s="1">
        <v>1</v>
      </c>
      <c r="E61" s="1">
        <v>1</v>
      </c>
      <c r="F61" s="1" t="s">
        <v>17</v>
      </c>
      <c r="G61" s="1" t="s">
        <v>17</v>
      </c>
      <c r="H61" s="1">
        <v>8355967</v>
      </c>
      <c r="I61" s="1">
        <v>8355967</v>
      </c>
      <c r="J61" s="1" t="s">
        <v>17</v>
      </c>
      <c r="K61">
        <f t="shared" si="0"/>
        <v>1</v>
      </c>
    </row>
    <row r="62" spans="1:11" hidden="1">
      <c r="A62" s="1">
        <v>128</v>
      </c>
      <c r="B62" s="1">
        <v>3</v>
      </c>
      <c r="C62" s="1">
        <v>0</v>
      </c>
      <c r="D62" s="1">
        <v>2</v>
      </c>
      <c r="E62" s="1">
        <v>1</v>
      </c>
      <c r="F62" s="1" t="s">
        <v>23</v>
      </c>
      <c r="G62" s="1" t="s">
        <v>12</v>
      </c>
      <c r="H62" s="1">
        <v>16711935</v>
      </c>
      <c r="I62" s="1">
        <v>0</v>
      </c>
      <c r="J62" s="1" t="s">
        <v>17</v>
      </c>
      <c r="K62">
        <f t="shared" si="0"/>
        <v>0</v>
      </c>
    </row>
    <row r="63" spans="1:11" hidden="1">
      <c r="A63" s="1">
        <v>190</v>
      </c>
      <c r="B63" s="1">
        <v>0</v>
      </c>
      <c r="C63" s="1">
        <v>3</v>
      </c>
      <c r="D63" s="1">
        <v>1</v>
      </c>
      <c r="E63" s="1">
        <v>2</v>
      </c>
      <c r="F63" s="1" t="s">
        <v>12</v>
      </c>
      <c r="G63" s="1" t="s">
        <v>23</v>
      </c>
      <c r="H63" s="1">
        <v>0</v>
      </c>
      <c r="I63" s="1">
        <v>16711935</v>
      </c>
      <c r="J63" s="1" t="s">
        <v>17</v>
      </c>
      <c r="K63">
        <f t="shared" si="0"/>
        <v>0</v>
      </c>
    </row>
    <row r="64" spans="1:11" hidden="1">
      <c r="A64" s="1">
        <v>203</v>
      </c>
      <c r="B64" s="1">
        <v>3</v>
      </c>
      <c r="C64" s="1">
        <v>0</v>
      </c>
      <c r="D64" s="1">
        <v>2</v>
      </c>
      <c r="E64" s="1">
        <v>2</v>
      </c>
      <c r="F64" s="1" t="s">
        <v>23</v>
      </c>
      <c r="G64" s="1" t="s">
        <v>12</v>
      </c>
      <c r="H64" s="1">
        <v>16711935</v>
      </c>
      <c r="I64" s="1">
        <v>0</v>
      </c>
      <c r="J64" s="1" t="s">
        <v>17</v>
      </c>
      <c r="K64">
        <f t="shared" si="0"/>
        <v>0</v>
      </c>
    </row>
    <row r="65" spans="1:11" hidden="1">
      <c r="A65" s="1">
        <v>207</v>
      </c>
      <c r="B65" s="1">
        <v>2</v>
      </c>
      <c r="C65" s="1">
        <v>1</v>
      </c>
      <c r="D65" s="1">
        <v>2</v>
      </c>
      <c r="E65" s="1">
        <v>2</v>
      </c>
      <c r="F65" s="1" t="s">
        <v>22</v>
      </c>
      <c r="G65" s="1" t="s">
        <v>21</v>
      </c>
      <c r="H65" s="1">
        <v>16711680</v>
      </c>
      <c r="I65" s="1">
        <v>255</v>
      </c>
      <c r="J65" s="1" t="s">
        <v>17</v>
      </c>
      <c r="K65">
        <f t="shared" si="0"/>
        <v>0</v>
      </c>
    </row>
    <row r="66" spans="1:11" hidden="1">
      <c r="A66" s="1">
        <v>211</v>
      </c>
      <c r="B66" s="1">
        <v>1</v>
      </c>
      <c r="C66" s="1">
        <v>2</v>
      </c>
      <c r="D66" s="1">
        <v>2</v>
      </c>
      <c r="E66" s="1">
        <v>2</v>
      </c>
      <c r="F66" s="1" t="s">
        <v>21</v>
      </c>
      <c r="G66" s="1" t="s">
        <v>22</v>
      </c>
      <c r="H66" s="1">
        <v>255</v>
      </c>
      <c r="I66" s="1">
        <v>16711680</v>
      </c>
      <c r="J66" s="1" t="s">
        <v>17</v>
      </c>
      <c r="K66">
        <f t="shared" si="0"/>
        <v>0</v>
      </c>
    </row>
    <row r="67" spans="1:11" hidden="1">
      <c r="A67" s="1">
        <v>215</v>
      </c>
      <c r="B67" s="1">
        <v>0</v>
      </c>
      <c r="C67" s="1">
        <v>3</v>
      </c>
      <c r="D67" s="1">
        <v>2</v>
      </c>
      <c r="E67" s="1">
        <v>2</v>
      </c>
      <c r="F67" s="1" t="s">
        <v>12</v>
      </c>
      <c r="G67" s="1" t="s">
        <v>23</v>
      </c>
      <c r="H67" s="1">
        <v>0</v>
      </c>
      <c r="I67" s="1">
        <v>16711935</v>
      </c>
      <c r="J67" s="1" t="s">
        <v>17</v>
      </c>
      <c r="K67">
        <f t="shared" ref="K67:K101" si="1">INT(J67&lt;&gt;J66)</f>
        <v>0</v>
      </c>
    </row>
    <row r="68" spans="1:11">
      <c r="A68" s="1">
        <v>133</v>
      </c>
      <c r="B68" s="1">
        <v>3</v>
      </c>
      <c r="C68" s="1">
        <v>1</v>
      </c>
      <c r="D68" s="1">
        <v>2</v>
      </c>
      <c r="E68" s="1">
        <v>1</v>
      </c>
      <c r="F68" s="1" t="s">
        <v>23</v>
      </c>
      <c r="G68" s="1" t="s">
        <v>13</v>
      </c>
      <c r="H68" s="1">
        <v>16711935</v>
      </c>
      <c r="I68" s="1">
        <v>127</v>
      </c>
      <c r="J68" s="1" t="s">
        <v>31</v>
      </c>
      <c r="K68">
        <f t="shared" si="1"/>
        <v>1</v>
      </c>
    </row>
    <row r="69" spans="1:11" hidden="1">
      <c r="A69" s="1">
        <v>191</v>
      </c>
      <c r="B69" s="1">
        <v>1</v>
      </c>
      <c r="C69" s="1">
        <v>3</v>
      </c>
      <c r="D69" s="1">
        <v>1</v>
      </c>
      <c r="E69" s="1">
        <v>2</v>
      </c>
      <c r="F69" s="1" t="s">
        <v>13</v>
      </c>
      <c r="G69" s="1" t="s">
        <v>23</v>
      </c>
      <c r="H69" s="1">
        <v>127</v>
      </c>
      <c r="I69" s="1">
        <v>16711935</v>
      </c>
      <c r="J69" s="1" t="s">
        <v>31</v>
      </c>
      <c r="K69">
        <f t="shared" si="1"/>
        <v>0</v>
      </c>
    </row>
    <row r="70" spans="1:11">
      <c r="A70" s="1">
        <v>208</v>
      </c>
      <c r="B70" s="1">
        <v>3</v>
      </c>
      <c r="C70" s="1">
        <v>1</v>
      </c>
      <c r="D70" s="1">
        <v>2</v>
      </c>
      <c r="E70" s="1">
        <v>2</v>
      </c>
      <c r="F70" s="1" t="s">
        <v>23</v>
      </c>
      <c r="G70" s="1" t="s">
        <v>21</v>
      </c>
      <c r="H70" s="1">
        <v>16711935</v>
      </c>
      <c r="I70" s="1">
        <v>255</v>
      </c>
      <c r="J70" s="1" t="s">
        <v>44</v>
      </c>
      <c r="K70">
        <f t="shared" si="1"/>
        <v>1</v>
      </c>
    </row>
    <row r="71" spans="1:11" hidden="1">
      <c r="A71" s="1">
        <v>216</v>
      </c>
      <c r="B71" s="1">
        <v>1</v>
      </c>
      <c r="C71" s="1">
        <v>3</v>
      </c>
      <c r="D71" s="1">
        <v>2</v>
      </c>
      <c r="E71" s="1">
        <v>2</v>
      </c>
      <c r="F71" s="1" t="s">
        <v>21</v>
      </c>
      <c r="G71" s="1" t="s">
        <v>23</v>
      </c>
      <c r="H71" s="1">
        <v>255</v>
      </c>
      <c r="I71" s="1">
        <v>16711935</v>
      </c>
      <c r="J71" s="1" t="s">
        <v>44</v>
      </c>
      <c r="K71">
        <f t="shared" si="1"/>
        <v>0</v>
      </c>
    </row>
    <row r="72" spans="1:11">
      <c r="A72" s="1">
        <v>134</v>
      </c>
      <c r="B72" s="1">
        <v>4</v>
      </c>
      <c r="C72" s="1">
        <v>1</v>
      </c>
      <c r="D72" s="1">
        <v>2</v>
      </c>
      <c r="E72" s="1">
        <v>1</v>
      </c>
      <c r="F72" s="1" t="s">
        <v>24</v>
      </c>
      <c r="G72" s="1" t="s">
        <v>13</v>
      </c>
      <c r="H72" s="1">
        <v>65280</v>
      </c>
      <c r="I72" s="1">
        <v>127</v>
      </c>
      <c r="J72" s="1" t="s">
        <v>32</v>
      </c>
      <c r="K72">
        <f t="shared" si="1"/>
        <v>1</v>
      </c>
    </row>
    <row r="73" spans="1:11" hidden="1">
      <c r="A73" s="1">
        <v>196</v>
      </c>
      <c r="B73" s="1">
        <v>1</v>
      </c>
      <c r="C73" s="1">
        <v>4</v>
      </c>
      <c r="D73" s="1">
        <v>1</v>
      </c>
      <c r="E73" s="1">
        <v>2</v>
      </c>
      <c r="F73" s="1" t="s">
        <v>13</v>
      </c>
      <c r="G73" s="1" t="s">
        <v>24</v>
      </c>
      <c r="H73" s="1">
        <v>127</v>
      </c>
      <c r="I73" s="1">
        <v>65280</v>
      </c>
      <c r="J73" s="1" t="s">
        <v>32</v>
      </c>
      <c r="K73">
        <f t="shared" si="1"/>
        <v>0</v>
      </c>
    </row>
    <row r="74" spans="1:11">
      <c r="A74" s="1">
        <v>147</v>
      </c>
      <c r="B74" s="1">
        <v>2</v>
      </c>
      <c r="C74" s="1">
        <v>4</v>
      </c>
      <c r="D74" s="1">
        <v>2</v>
      </c>
      <c r="E74" s="1">
        <v>1</v>
      </c>
      <c r="F74" s="1" t="s">
        <v>22</v>
      </c>
      <c r="G74" s="1" t="s">
        <v>19</v>
      </c>
      <c r="H74" s="1">
        <v>16711680</v>
      </c>
      <c r="I74" s="1">
        <v>32640</v>
      </c>
      <c r="J74" s="1" t="s">
        <v>41</v>
      </c>
      <c r="K74">
        <f t="shared" si="1"/>
        <v>1</v>
      </c>
    </row>
    <row r="75" spans="1:11" hidden="1">
      <c r="A75" s="1">
        <v>189</v>
      </c>
      <c r="B75" s="1">
        <v>4</v>
      </c>
      <c r="C75" s="1">
        <v>2</v>
      </c>
      <c r="D75" s="1">
        <v>1</v>
      </c>
      <c r="E75" s="1">
        <v>2</v>
      </c>
      <c r="F75" s="1" t="s">
        <v>19</v>
      </c>
      <c r="G75" s="1" t="s">
        <v>22</v>
      </c>
      <c r="H75" s="1">
        <v>32640</v>
      </c>
      <c r="I75" s="1">
        <v>16711680</v>
      </c>
      <c r="J75" s="1" t="s">
        <v>41</v>
      </c>
      <c r="K75">
        <f t="shared" si="1"/>
        <v>0</v>
      </c>
    </row>
    <row r="76" spans="1:11">
      <c r="A76" s="1">
        <v>148</v>
      </c>
      <c r="B76" s="1">
        <v>3</v>
      </c>
      <c r="C76" s="1">
        <v>4</v>
      </c>
      <c r="D76" s="1">
        <v>2</v>
      </c>
      <c r="E76" s="1">
        <v>1</v>
      </c>
      <c r="F76" s="1" t="s">
        <v>23</v>
      </c>
      <c r="G76" s="1" t="s">
        <v>19</v>
      </c>
      <c r="H76" s="1">
        <v>16711935</v>
      </c>
      <c r="I76" s="1">
        <v>32640</v>
      </c>
      <c r="J76" s="1" t="s">
        <v>42</v>
      </c>
      <c r="K76">
        <f t="shared" si="1"/>
        <v>1</v>
      </c>
    </row>
    <row r="77" spans="1:11" hidden="1">
      <c r="A77" s="1">
        <v>194</v>
      </c>
      <c r="B77" s="1">
        <v>4</v>
      </c>
      <c r="C77" s="1">
        <v>3</v>
      </c>
      <c r="D77" s="1">
        <v>1</v>
      </c>
      <c r="E77" s="1">
        <v>2</v>
      </c>
      <c r="F77" s="1" t="s">
        <v>19</v>
      </c>
      <c r="G77" s="1" t="s">
        <v>23</v>
      </c>
      <c r="H77" s="1">
        <v>32640</v>
      </c>
      <c r="I77" s="1">
        <v>16711935</v>
      </c>
      <c r="J77" s="1" t="s">
        <v>42</v>
      </c>
      <c r="K77">
        <f t="shared" si="1"/>
        <v>0</v>
      </c>
    </row>
    <row r="78" spans="1:11">
      <c r="A78" s="1">
        <v>209</v>
      </c>
      <c r="B78" s="1">
        <v>4</v>
      </c>
      <c r="C78" s="1">
        <v>1</v>
      </c>
      <c r="D78" s="1">
        <v>2</v>
      </c>
      <c r="E78" s="1">
        <v>2</v>
      </c>
      <c r="F78" s="1" t="s">
        <v>24</v>
      </c>
      <c r="G78" s="1" t="s">
        <v>21</v>
      </c>
      <c r="H78" s="1">
        <v>65280</v>
      </c>
      <c r="I78" s="1">
        <v>255</v>
      </c>
      <c r="J78" s="1" t="s">
        <v>45</v>
      </c>
      <c r="K78">
        <f t="shared" si="1"/>
        <v>1</v>
      </c>
    </row>
    <row r="79" spans="1:11" hidden="1">
      <c r="A79" s="1">
        <v>221</v>
      </c>
      <c r="B79" s="1">
        <v>1</v>
      </c>
      <c r="C79" s="1">
        <v>4</v>
      </c>
      <c r="D79" s="1">
        <v>2</v>
      </c>
      <c r="E79" s="1">
        <v>2</v>
      </c>
      <c r="F79" s="1" t="s">
        <v>21</v>
      </c>
      <c r="G79" s="1" t="s">
        <v>24</v>
      </c>
      <c r="H79" s="1">
        <v>255</v>
      </c>
      <c r="I79" s="1">
        <v>65280</v>
      </c>
      <c r="J79" s="1" t="s">
        <v>45</v>
      </c>
      <c r="K79">
        <f t="shared" si="1"/>
        <v>0</v>
      </c>
    </row>
    <row r="80" spans="1:11">
      <c r="A80" s="1">
        <v>214</v>
      </c>
      <c r="B80" s="1">
        <v>4</v>
      </c>
      <c r="C80" s="1">
        <v>2</v>
      </c>
      <c r="D80" s="1">
        <v>2</v>
      </c>
      <c r="E80" s="1">
        <v>2</v>
      </c>
      <c r="F80" s="1" t="s">
        <v>24</v>
      </c>
      <c r="G80" s="1" t="s">
        <v>22</v>
      </c>
      <c r="H80" s="1">
        <v>65280</v>
      </c>
      <c r="I80" s="1">
        <v>16711680</v>
      </c>
      <c r="J80" s="1" t="s">
        <v>47</v>
      </c>
      <c r="K80">
        <f t="shared" si="1"/>
        <v>1</v>
      </c>
    </row>
    <row r="81" spans="1:11" hidden="1">
      <c r="A81" s="1">
        <v>222</v>
      </c>
      <c r="B81" s="1">
        <v>2</v>
      </c>
      <c r="C81" s="1">
        <v>4</v>
      </c>
      <c r="D81" s="1">
        <v>2</v>
      </c>
      <c r="E81" s="1">
        <v>2</v>
      </c>
      <c r="F81" s="1" t="s">
        <v>22</v>
      </c>
      <c r="G81" s="1" t="s">
        <v>24</v>
      </c>
      <c r="H81" s="1">
        <v>16711680</v>
      </c>
      <c r="I81" s="1">
        <v>65280</v>
      </c>
      <c r="J81" s="1" t="s">
        <v>47</v>
      </c>
      <c r="K81">
        <f t="shared" si="1"/>
        <v>0</v>
      </c>
    </row>
    <row r="82" spans="1:11">
      <c r="A82" s="1">
        <v>219</v>
      </c>
      <c r="B82" s="1">
        <v>4</v>
      </c>
      <c r="C82" s="1">
        <v>3</v>
      </c>
      <c r="D82" s="1">
        <v>2</v>
      </c>
      <c r="E82" s="1">
        <v>2</v>
      </c>
      <c r="F82" s="1" t="s">
        <v>24</v>
      </c>
      <c r="G82" s="1" t="s">
        <v>23</v>
      </c>
      <c r="H82" s="1">
        <v>65280</v>
      </c>
      <c r="I82" s="1">
        <v>16711935</v>
      </c>
      <c r="J82" s="1" t="s">
        <v>48</v>
      </c>
      <c r="K82">
        <f t="shared" si="1"/>
        <v>1</v>
      </c>
    </row>
    <row r="83" spans="1:11" hidden="1">
      <c r="A83" s="1">
        <v>223</v>
      </c>
      <c r="B83" s="1">
        <v>3</v>
      </c>
      <c r="C83" s="1">
        <v>4</v>
      </c>
      <c r="D83" s="1">
        <v>2</v>
      </c>
      <c r="E83" s="1">
        <v>2</v>
      </c>
      <c r="F83" s="1" t="s">
        <v>23</v>
      </c>
      <c r="G83" s="1" t="s">
        <v>24</v>
      </c>
      <c r="H83" s="1">
        <v>16711935</v>
      </c>
      <c r="I83" s="1">
        <v>65280</v>
      </c>
      <c r="J83" s="1" t="s">
        <v>48</v>
      </c>
      <c r="K83">
        <f t="shared" si="1"/>
        <v>0</v>
      </c>
    </row>
    <row r="84" spans="1:11">
      <c r="A84" s="1">
        <v>131</v>
      </c>
      <c r="B84" s="1">
        <v>1</v>
      </c>
      <c r="C84" s="1">
        <v>1</v>
      </c>
      <c r="D84" s="1">
        <v>2</v>
      </c>
      <c r="E84" s="1">
        <v>1</v>
      </c>
      <c r="F84" s="1" t="s">
        <v>21</v>
      </c>
      <c r="G84" s="1" t="s">
        <v>13</v>
      </c>
      <c r="H84" s="1">
        <v>255</v>
      </c>
      <c r="I84" s="1">
        <v>127</v>
      </c>
      <c r="J84" s="1" t="s">
        <v>30</v>
      </c>
      <c r="K84">
        <f t="shared" si="1"/>
        <v>1</v>
      </c>
    </row>
    <row r="85" spans="1:11" hidden="1">
      <c r="A85" s="1">
        <v>181</v>
      </c>
      <c r="B85" s="1">
        <v>1</v>
      </c>
      <c r="C85" s="1">
        <v>1</v>
      </c>
      <c r="D85" s="1">
        <v>1</v>
      </c>
      <c r="E85" s="1">
        <v>2</v>
      </c>
      <c r="F85" s="1" t="s">
        <v>13</v>
      </c>
      <c r="G85" s="1" t="s">
        <v>21</v>
      </c>
      <c r="H85" s="1">
        <v>127</v>
      </c>
      <c r="I85" s="1">
        <v>255</v>
      </c>
      <c r="J85" s="1" t="s">
        <v>30</v>
      </c>
      <c r="K85">
        <f t="shared" si="1"/>
        <v>0</v>
      </c>
    </row>
    <row r="86" spans="1:11">
      <c r="A86" s="1">
        <v>149</v>
      </c>
      <c r="B86" s="1">
        <v>4</v>
      </c>
      <c r="C86" s="1">
        <v>4</v>
      </c>
      <c r="D86" s="1">
        <v>2</v>
      </c>
      <c r="E86" s="1">
        <v>1</v>
      </c>
      <c r="F86" s="1" t="s">
        <v>24</v>
      </c>
      <c r="G86" s="1" t="s">
        <v>19</v>
      </c>
      <c r="H86" s="1">
        <v>65280</v>
      </c>
      <c r="I86" s="1">
        <v>32640</v>
      </c>
      <c r="J86" s="1" t="s">
        <v>43</v>
      </c>
      <c r="K86">
        <f t="shared" si="1"/>
        <v>1</v>
      </c>
    </row>
    <row r="87" spans="1:11" hidden="1">
      <c r="A87" s="1">
        <v>199</v>
      </c>
      <c r="B87" s="1">
        <v>4</v>
      </c>
      <c r="C87" s="1">
        <v>4</v>
      </c>
      <c r="D87" s="1">
        <v>1</v>
      </c>
      <c r="E87" s="1">
        <v>2</v>
      </c>
      <c r="F87" s="1" t="s">
        <v>19</v>
      </c>
      <c r="G87" s="1" t="s">
        <v>24</v>
      </c>
      <c r="H87" s="1">
        <v>32640</v>
      </c>
      <c r="I87" s="1">
        <v>65280</v>
      </c>
      <c r="J87" s="1" t="s">
        <v>43</v>
      </c>
      <c r="K87">
        <f t="shared" si="1"/>
        <v>0</v>
      </c>
    </row>
    <row r="88" spans="1:11">
      <c r="A88" s="1">
        <v>137</v>
      </c>
      <c r="B88" s="1">
        <v>2</v>
      </c>
      <c r="C88" s="1">
        <v>2</v>
      </c>
      <c r="D88" s="1">
        <v>2</v>
      </c>
      <c r="E88" s="1">
        <v>1</v>
      </c>
      <c r="F88" s="1" t="s">
        <v>22</v>
      </c>
      <c r="G88" s="1" t="s">
        <v>15</v>
      </c>
      <c r="H88" s="1">
        <v>16711680</v>
      </c>
      <c r="I88" s="1">
        <v>8355840</v>
      </c>
      <c r="J88" s="1" t="s">
        <v>33</v>
      </c>
      <c r="K88">
        <f t="shared" si="1"/>
        <v>1</v>
      </c>
    </row>
    <row r="89" spans="1:11" hidden="1">
      <c r="A89" s="1">
        <v>187</v>
      </c>
      <c r="B89" s="1">
        <v>2</v>
      </c>
      <c r="C89" s="1">
        <v>2</v>
      </c>
      <c r="D89" s="1">
        <v>1</v>
      </c>
      <c r="E89" s="1">
        <v>2</v>
      </c>
      <c r="F89" s="1" t="s">
        <v>15</v>
      </c>
      <c r="G89" s="1" t="s">
        <v>22</v>
      </c>
      <c r="H89" s="1">
        <v>8355840</v>
      </c>
      <c r="I89" s="1">
        <v>16711680</v>
      </c>
      <c r="J89" s="1" t="s">
        <v>33</v>
      </c>
      <c r="K89">
        <f t="shared" si="1"/>
        <v>0</v>
      </c>
    </row>
    <row r="90" spans="1:11">
      <c r="A90" s="1">
        <v>142</v>
      </c>
      <c r="B90" s="1">
        <v>2</v>
      </c>
      <c r="C90" s="1">
        <v>3</v>
      </c>
      <c r="D90" s="1">
        <v>2</v>
      </c>
      <c r="E90" s="1">
        <v>1</v>
      </c>
      <c r="F90" s="1" t="s">
        <v>22</v>
      </c>
      <c r="G90" s="1" t="s">
        <v>17</v>
      </c>
      <c r="H90" s="1">
        <v>16711680</v>
      </c>
      <c r="I90" s="1">
        <v>8355967</v>
      </c>
      <c r="J90" s="1" t="s">
        <v>37</v>
      </c>
      <c r="K90">
        <f t="shared" si="1"/>
        <v>1</v>
      </c>
    </row>
    <row r="91" spans="1:11" hidden="1">
      <c r="A91" s="1">
        <v>188</v>
      </c>
      <c r="B91" s="1">
        <v>3</v>
      </c>
      <c r="C91" s="1">
        <v>2</v>
      </c>
      <c r="D91" s="1">
        <v>1</v>
      </c>
      <c r="E91" s="1">
        <v>2</v>
      </c>
      <c r="F91" s="1" t="s">
        <v>17</v>
      </c>
      <c r="G91" s="1" t="s">
        <v>22</v>
      </c>
      <c r="H91" s="1">
        <v>8355967</v>
      </c>
      <c r="I91" s="1">
        <v>16711680</v>
      </c>
      <c r="J91" s="1" t="s">
        <v>37</v>
      </c>
      <c r="K91">
        <f t="shared" si="1"/>
        <v>0</v>
      </c>
    </row>
    <row r="92" spans="1:11">
      <c r="A92" s="1">
        <v>138</v>
      </c>
      <c r="B92" s="1">
        <v>3</v>
      </c>
      <c r="C92" s="1">
        <v>2</v>
      </c>
      <c r="D92" s="1">
        <v>2</v>
      </c>
      <c r="E92" s="1">
        <v>1</v>
      </c>
      <c r="F92" s="1" t="s">
        <v>23</v>
      </c>
      <c r="G92" s="1" t="s">
        <v>15</v>
      </c>
      <c r="H92" s="1">
        <v>16711935</v>
      </c>
      <c r="I92" s="1">
        <v>8355840</v>
      </c>
      <c r="J92" s="1" t="s">
        <v>34</v>
      </c>
      <c r="K92">
        <f t="shared" si="1"/>
        <v>1</v>
      </c>
    </row>
    <row r="93" spans="1:11" hidden="1">
      <c r="A93" s="1">
        <v>192</v>
      </c>
      <c r="B93" s="1">
        <v>2</v>
      </c>
      <c r="C93" s="1">
        <v>3</v>
      </c>
      <c r="D93" s="1">
        <v>1</v>
      </c>
      <c r="E93" s="1">
        <v>2</v>
      </c>
      <c r="F93" s="1" t="s">
        <v>15</v>
      </c>
      <c r="G93" s="1" t="s">
        <v>23</v>
      </c>
      <c r="H93" s="1">
        <v>8355840</v>
      </c>
      <c r="I93" s="1">
        <v>16711935</v>
      </c>
      <c r="J93" s="1" t="s">
        <v>34</v>
      </c>
      <c r="K93">
        <f t="shared" si="1"/>
        <v>0</v>
      </c>
    </row>
    <row r="94" spans="1:11">
      <c r="A94" s="1">
        <v>143</v>
      </c>
      <c r="B94" s="1">
        <v>3</v>
      </c>
      <c r="C94" s="1">
        <v>3</v>
      </c>
      <c r="D94" s="1">
        <v>2</v>
      </c>
      <c r="E94" s="1">
        <v>1</v>
      </c>
      <c r="F94" s="1" t="s">
        <v>23</v>
      </c>
      <c r="G94" s="1" t="s">
        <v>17</v>
      </c>
      <c r="H94" s="1">
        <v>16711935</v>
      </c>
      <c r="I94" s="1">
        <v>8355967</v>
      </c>
      <c r="J94" s="1" t="s">
        <v>38</v>
      </c>
      <c r="K94">
        <f t="shared" si="1"/>
        <v>1</v>
      </c>
    </row>
    <row r="95" spans="1:11" hidden="1">
      <c r="A95" s="1">
        <v>193</v>
      </c>
      <c r="B95" s="1">
        <v>3</v>
      </c>
      <c r="C95" s="1">
        <v>3</v>
      </c>
      <c r="D95" s="1">
        <v>1</v>
      </c>
      <c r="E95" s="1">
        <v>2</v>
      </c>
      <c r="F95" s="1" t="s">
        <v>17</v>
      </c>
      <c r="G95" s="1" t="s">
        <v>23</v>
      </c>
      <c r="H95" s="1">
        <v>8355967</v>
      </c>
      <c r="I95" s="1">
        <v>16711935</v>
      </c>
      <c r="J95" s="1" t="s">
        <v>38</v>
      </c>
      <c r="K95">
        <f t="shared" si="1"/>
        <v>0</v>
      </c>
    </row>
    <row r="96" spans="1:11">
      <c r="A96" s="1">
        <v>206</v>
      </c>
      <c r="B96" s="1">
        <v>1</v>
      </c>
      <c r="C96" s="1">
        <v>1</v>
      </c>
      <c r="D96" s="1">
        <v>2</v>
      </c>
      <c r="E96" s="1">
        <v>2</v>
      </c>
      <c r="F96" s="1" t="s">
        <v>21</v>
      </c>
      <c r="G96" s="1" t="s">
        <v>21</v>
      </c>
      <c r="H96" s="1">
        <v>255</v>
      </c>
      <c r="I96" s="1">
        <v>255</v>
      </c>
      <c r="J96" s="1" t="s">
        <v>21</v>
      </c>
      <c r="K96">
        <f t="shared" si="1"/>
        <v>1</v>
      </c>
    </row>
    <row r="97" spans="1:11">
      <c r="A97" s="1">
        <v>224</v>
      </c>
      <c r="B97" s="1">
        <v>4</v>
      </c>
      <c r="C97" s="1">
        <v>4</v>
      </c>
      <c r="D97" s="1">
        <v>2</v>
      </c>
      <c r="E97" s="1">
        <v>2</v>
      </c>
      <c r="F97" s="1" t="s">
        <v>24</v>
      </c>
      <c r="G97" s="1" t="s">
        <v>24</v>
      </c>
      <c r="H97" s="1">
        <v>65280</v>
      </c>
      <c r="I97" s="1">
        <v>65280</v>
      </c>
      <c r="J97" s="1" t="s">
        <v>24</v>
      </c>
      <c r="K97">
        <f t="shared" si="1"/>
        <v>1</v>
      </c>
    </row>
    <row r="98" spans="1:11">
      <c r="A98" s="1">
        <v>212</v>
      </c>
      <c r="B98" s="1">
        <v>2</v>
      </c>
      <c r="C98" s="1">
        <v>2</v>
      </c>
      <c r="D98" s="1">
        <v>2</v>
      </c>
      <c r="E98" s="1">
        <v>2</v>
      </c>
      <c r="F98" s="1" t="s">
        <v>22</v>
      </c>
      <c r="G98" s="1" t="s">
        <v>22</v>
      </c>
      <c r="H98" s="1">
        <v>16711680</v>
      </c>
      <c r="I98" s="1">
        <v>16711680</v>
      </c>
      <c r="J98" s="1" t="s">
        <v>22</v>
      </c>
      <c r="K98">
        <f t="shared" si="1"/>
        <v>1</v>
      </c>
    </row>
    <row r="99" spans="1:11">
      <c r="A99" s="1">
        <v>213</v>
      </c>
      <c r="B99" s="1">
        <v>3</v>
      </c>
      <c r="C99" s="1">
        <v>2</v>
      </c>
      <c r="D99" s="1">
        <v>2</v>
      </c>
      <c r="E99" s="1">
        <v>2</v>
      </c>
      <c r="F99" s="1" t="s">
        <v>23</v>
      </c>
      <c r="G99" s="1" t="s">
        <v>22</v>
      </c>
      <c r="H99" s="1">
        <v>16711935</v>
      </c>
      <c r="I99" s="1">
        <v>16711680</v>
      </c>
      <c r="J99" s="1" t="s">
        <v>46</v>
      </c>
      <c r="K99">
        <f t="shared" si="1"/>
        <v>1</v>
      </c>
    </row>
    <row r="100" spans="1:11" hidden="1">
      <c r="A100" s="1">
        <v>217</v>
      </c>
      <c r="B100" s="1">
        <v>2</v>
      </c>
      <c r="C100" s="1">
        <v>3</v>
      </c>
      <c r="D100" s="1">
        <v>2</v>
      </c>
      <c r="E100" s="1">
        <v>2</v>
      </c>
      <c r="F100" s="1" t="s">
        <v>22</v>
      </c>
      <c r="G100" s="1" t="s">
        <v>23</v>
      </c>
      <c r="H100" s="1">
        <v>16711680</v>
      </c>
      <c r="I100" s="1">
        <v>16711935</v>
      </c>
      <c r="J100" s="1" t="s">
        <v>46</v>
      </c>
      <c r="K100">
        <f t="shared" si="1"/>
        <v>0</v>
      </c>
    </row>
    <row r="101" spans="1:11">
      <c r="A101" s="1">
        <v>218</v>
      </c>
      <c r="B101" s="1">
        <v>3</v>
      </c>
      <c r="C101" s="1">
        <v>3</v>
      </c>
      <c r="D101" s="1">
        <v>2</v>
      </c>
      <c r="E101" s="1">
        <v>2</v>
      </c>
      <c r="F101" s="1" t="s">
        <v>23</v>
      </c>
      <c r="G101" s="1" t="s">
        <v>23</v>
      </c>
      <c r="H101" s="1">
        <v>16711935</v>
      </c>
      <c r="I101" s="1">
        <v>16711935</v>
      </c>
      <c r="J101" s="1" t="s">
        <v>23</v>
      </c>
      <c r="K101">
        <f t="shared" si="1"/>
        <v>1</v>
      </c>
    </row>
  </sheetData>
  <autoFilter ref="A1:K101">
    <filterColumn colId="10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"/>
  <sheetViews>
    <sheetView tabSelected="1" topLeftCell="B1" zoomScale="70" zoomScaleNormal="70" workbookViewId="0">
      <selection activeCell="B9" sqref="B9:C9"/>
    </sheetView>
  </sheetViews>
  <sheetFormatPr defaultRowHeight="15"/>
  <sheetData>
    <row r="1" spans="1:13">
      <c r="A1" t="s">
        <v>51</v>
      </c>
      <c r="B1" s="5" t="s">
        <v>7</v>
      </c>
      <c r="C1" s="5" t="s">
        <v>8</v>
      </c>
      <c r="D1" s="5" t="s">
        <v>4</v>
      </c>
      <c r="E1" s="5" t="s">
        <v>5</v>
      </c>
      <c r="F1" s="5" t="s">
        <v>49</v>
      </c>
      <c r="I1" s="5" t="s">
        <v>6</v>
      </c>
      <c r="J1" s="5" t="s">
        <v>9</v>
      </c>
      <c r="K1" s="5" t="s">
        <v>10</v>
      </c>
      <c r="L1" s="5" t="s">
        <v>9</v>
      </c>
      <c r="M1" s="5" t="s">
        <v>10</v>
      </c>
    </row>
    <row r="2" spans="1:13">
      <c r="A2">
        <v>0</v>
      </c>
      <c r="B2" s="1">
        <v>0</v>
      </c>
      <c r="C2" s="1">
        <v>0</v>
      </c>
      <c r="D2" s="1">
        <v>1</v>
      </c>
      <c r="E2" s="1">
        <v>1</v>
      </c>
      <c r="F2" s="1" t="s">
        <v>12</v>
      </c>
      <c r="I2" s="1">
        <v>100</v>
      </c>
      <c r="J2" s="1" t="s">
        <v>12</v>
      </c>
      <c r="K2" s="1" t="s">
        <v>12</v>
      </c>
      <c r="L2" s="1">
        <v>0</v>
      </c>
      <c r="M2" s="1">
        <v>0</v>
      </c>
    </row>
    <row r="3" spans="1:13">
      <c r="A3">
        <v>1</v>
      </c>
      <c r="B3" s="1">
        <v>1</v>
      </c>
      <c r="C3" s="1">
        <v>0</v>
      </c>
      <c r="D3" s="1">
        <v>1</v>
      </c>
      <c r="E3" s="1">
        <v>1</v>
      </c>
      <c r="F3" s="1" t="s">
        <v>14</v>
      </c>
      <c r="I3" s="1">
        <v>101</v>
      </c>
      <c r="J3" s="1" t="s">
        <v>13</v>
      </c>
      <c r="K3" s="1" t="s">
        <v>12</v>
      </c>
      <c r="L3" s="1">
        <v>127</v>
      </c>
      <c r="M3" s="1">
        <v>0</v>
      </c>
    </row>
    <row r="4" spans="1:13">
      <c r="A4">
        <v>2</v>
      </c>
      <c r="B4" s="1">
        <v>4</v>
      </c>
      <c r="C4" s="1">
        <v>0</v>
      </c>
      <c r="D4" s="1">
        <v>1</v>
      </c>
      <c r="E4" s="1">
        <v>1</v>
      </c>
      <c r="F4" s="1" t="s">
        <v>20</v>
      </c>
      <c r="I4" s="1">
        <v>104</v>
      </c>
      <c r="J4" s="1" t="s">
        <v>19</v>
      </c>
      <c r="K4" s="1" t="s">
        <v>12</v>
      </c>
      <c r="L4" s="1">
        <v>32640</v>
      </c>
      <c r="M4" s="1">
        <v>0</v>
      </c>
    </row>
    <row r="5" spans="1:13">
      <c r="A5">
        <v>3</v>
      </c>
      <c r="B5" s="1">
        <v>2</v>
      </c>
      <c r="C5" s="1">
        <v>0</v>
      </c>
      <c r="D5" s="1">
        <v>1</v>
      </c>
      <c r="E5" s="1">
        <v>1</v>
      </c>
      <c r="F5" s="1" t="s">
        <v>16</v>
      </c>
      <c r="I5" s="1">
        <v>102</v>
      </c>
      <c r="J5" s="1" t="s">
        <v>15</v>
      </c>
      <c r="K5" s="1" t="s">
        <v>12</v>
      </c>
      <c r="L5" s="1">
        <v>8355840</v>
      </c>
      <c r="M5" s="1">
        <v>0</v>
      </c>
    </row>
    <row r="6" spans="1:13">
      <c r="A6">
        <v>4</v>
      </c>
      <c r="B6" s="1">
        <v>3</v>
      </c>
      <c r="C6" s="1">
        <v>0</v>
      </c>
      <c r="D6" s="1">
        <v>1</v>
      </c>
      <c r="E6" s="1">
        <v>1</v>
      </c>
      <c r="F6" s="1" t="s">
        <v>18</v>
      </c>
      <c r="I6" s="1">
        <v>103</v>
      </c>
      <c r="J6" s="1" t="s">
        <v>17</v>
      </c>
      <c r="K6" s="1" t="s">
        <v>12</v>
      </c>
      <c r="L6" s="1">
        <v>8355967</v>
      </c>
      <c r="M6" s="1">
        <v>0</v>
      </c>
    </row>
    <row r="7" spans="1:13">
      <c r="A7">
        <v>5</v>
      </c>
      <c r="B7" s="1">
        <v>3</v>
      </c>
      <c r="C7" s="1">
        <v>1</v>
      </c>
      <c r="D7" s="1">
        <v>1</v>
      </c>
      <c r="E7" s="1">
        <v>1</v>
      </c>
      <c r="F7" s="1" t="s">
        <v>25</v>
      </c>
      <c r="I7" s="1">
        <v>108</v>
      </c>
      <c r="J7" s="1" t="s">
        <v>17</v>
      </c>
      <c r="K7" s="1" t="s">
        <v>13</v>
      </c>
      <c r="L7" s="1">
        <v>8355967</v>
      </c>
      <c r="M7" s="1">
        <v>127</v>
      </c>
    </row>
    <row r="8" spans="1:13">
      <c r="A8">
        <v>6</v>
      </c>
      <c r="B8" s="1">
        <v>1</v>
      </c>
      <c r="C8" s="1">
        <v>3</v>
      </c>
      <c r="D8" s="1">
        <v>2</v>
      </c>
      <c r="E8" s="1">
        <v>1</v>
      </c>
      <c r="F8" s="1" t="s">
        <v>36</v>
      </c>
      <c r="I8" s="1">
        <v>141</v>
      </c>
      <c r="J8" s="1" t="s">
        <v>21</v>
      </c>
      <c r="K8" s="1" t="s">
        <v>17</v>
      </c>
      <c r="L8" s="1">
        <v>255</v>
      </c>
      <c r="M8" s="1">
        <v>8355967</v>
      </c>
    </row>
    <row r="9" spans="1:13">
      <c r="A9">
        <v>7</v>
      </c>
      <c r="B9" s="1">
        <v>4</v>
      </c>
      <c r="C9" s="1">
        <v>1</v>
      </c>
      <c r="D9" s="1">
        <v>1</v>
      </c>
      <c r="E9" s="1">
        <v>1</v>
      </c>
      <c r="F9" s="1" t="s">
        <v>26</v>
      </c>
      <c r="I9" s="1">
        <v>109</v>
      </c>
      <c r="J9" s="1" t="s">
        <v>19</v>
      </c>
      <c r="K9" s="1" t="s">
        <v>13</v>
      </c>
      <c r="L9" s="1">
        <v>32640</v>
      </c>
      <c r="M9" s="1">
        <v>127</v>
      </c>
    </row>
    <row r="10" spans="1:13">
      <c r="A10">
        <v>8</v>
      </c>
      <c r="B10" s="1">
        <v>4</v>
      </c>
      <c r="C10" s="1">
        <v>2</v>
      </c>
      <c r="D10" s="1">
        <v>1</v>
      </c>
      <c r="E10" s="1">
        <v>1</v>
      </c>
      <c r="F10" s="1" t="s">
        <v>28</v>
      </c>
      <c r="I10" s="1">
        <v>114</v>
      </c>
      <c r="J10" s="1" t="s">
        <v>19</v>
      </c>
      <c r="K10" s="1" t="s">
        <v>15</v>
      </c>
      <c r="L10" s="1">
        <v>32640</v>
      </c>
      <c r="M10" s="1">
        <v>8355840</v>
      </c>
    </row>
    <row r="11" spans="1:13">
      <c r="A11">
        <v>9</v>
      </c>
      <c r="B11" s="1">
        <v>4</v>
      </c>
      <c r="C11" s="1">
        <v>3</v>
      </c>
      <c r="D11" s="1">
        <v>1</v>
      </c>
      <c r="E11" s="1">
        <v>1</v>
      </c>
      <c r="F11" s="1" t="s">
        <v>29</v>
      </c>
      <c r="I11" s="1">
        <v>119</v>
      </c>
      <c r="J11" s="1" t="s">
        <v>19</v>
      </c>
      <c r="K11" s="1" t="s">
        <v>17</v>
      </c>
      <c r="L11" s="1">
        <v>32640</v>
      </c>
      <c r="M11" s="1">
        <v>8355967</v>
      </c>
    </row>
    <row r="12" spans="1:13">
      <c r="A12">
        <v>10</v>
      </c>
      <c r="B12" s="1">
        <v>1</v>
      </c>
      <c r="C12" s="1">
        <v>4</v>
      </c>
      <c r="D12" s="1">
        <v>2</v>
      </c>
      <c r="E12" s="1">
        <v>1</v>
      </c>
      <c r="F12" s="1" t="s">
        <v>40</v>
      </c>
      <c r="I12" s="1">
        <v>146</v>
      </c>
      <c r="J12" s="1" t="s">
        <v>21</v>
      </c>
      <c r="K12" s="1" t="s">
        <v>19</v>
      </c>
      <c r="L12" s="1">
        <v>255</v>
      </c>
      <c r="M12" s="1">
        <v>32640</v>
      </c>
    </row>
    <row r="13" spans="1:13">
      <c r="A13">
        <v>11</v>
      </c>
      <c r="B13" s="1">
        <v>4</v>
      </c>
      <c r="C13" s="1">
        <v>2</v>
      </c>
      <c r="D13" s="1">
        <v>2</v>
      </c>
      <c r="E13" s="1">
        <v>1</v>
      </c>
      <c r="F13" s="1" t="s">
        <v>35</v>
      </c>
      <c r="I13" s="1">
        <v>139</v>
      </c>
      <c r="J13" s="1" t="s">
        <v>24</v>
      </c>
      <c r="K13" s="1" t="s">
        <v>15</v>
      </c>
      <c r="L13" s="1">
        <v>65280</v>
      </c>
      <c r="M13" s="1">
        <v>8355840</v>
      </c>
    </row>
    <row r="14" spans="1:13">
      <c r="A14">
        <v>12</v>
      </c>
      <c r="B14" s="1">
        <v>4</v>
      </c>
      <c r="C14" s="1">
        <v>3</v>
      </c>
      <c r="D14" s="1">
        <v>2</v>
      </c>
      <c r="E14" s="1">
        <v>1</v>
      </c>
      <c r="F14" s="1" t="s">
        <v>39</v>
      </c>
      <c r="I14" s="1">
        <v>144</v>
      </c>
      <c r="J14" s="1" t="s">
        <v>24</v>
      </c>
      <c r="K14" s="1" t="s">
        <v>17</v>
      </c>
      <c r="L14" s="1">
        <v>65280</v>
      </c>
      <c r="M14" s="1">
        <v>8355967</v>
      </c>
    </row>
    <row r="15" spans="1:13">
      <c r="A15">
        <v>13</v>
      </c>
      <c r="B15" s="1">
        <v>1</v>
      </c>
      <c r="C15" s="1">
        <v>1</v>
      </c>
      <c r="D15" s="1">
        <v>1</v>
      </c>
      <c r="E15" s="1">
        <v>1</v>
      </c>
      <c r="F15" s="1" t="s">
        <v>13</v>
      </c>
      <c r="I15" s="1">
        <v>106</v>
      </c>
      <c r="J15" s="1" t="s">
        <v>13</v>
      </c>
      <c r="K15" s="1" t="s">
        <v>13</v>
      </c>
      <c r="L15" s="1">
        <v>127</v>
      </c>
      <c r="M15" s="1">
        <v>127</v>
      </c>
    </row>
    <row r="16" spans="1:13">
      <c r="A16">
        <v>14</v>
      </c>
      <c r="B16" s="1">
        <v>4</v>
      </c>
      <c r="C16" s="1">
        <v>4</v>
      </c>
      <c r="D16" s="1">
        <v>1</v>
      </c>
      <c r="E16" s="1">
        <v>1</v>
      </c>
      <c r="F16" s="1" t="s">
        <v>19</v>
      </c>
      <c r="I16" s="1">
        <v>124</v>
      </c>
      <c r="J16" s="1" t="s">
        <v>19</v>
      </c>
      <c r="K16" s="1" t="s">
        <v>19</v>
      </c>
      <c r="L16" s="1">
        <v>32640</v>
      </c>
      <c r="M16" s="1">
        <v>32640</v>
      </c>
    </row>
    <row r="17" spans="1:13">
      <c r="A17">
        <v>15</v>
      </c>
      <c r="B17" s="1">
        <v>2</v>
      </c>
      <c r="C17" s="1">
        <v>2</v>
      </c>
      <c r="D17" s="1">
        <v>1</v>
      </c>
      <c r="E17" s="1">
        <v>1</v>
      </c>
      <c r="F17" s="1" t="s">
        <v>15</v>
      </c>
      <c r="I17" s="1">
        <v>112</v>
      </c>
      <c r="J17" s="1" t="s">
        <v>15</v>
      </c>
      <c r="K17" s="1" t="s">
        <v>15</v>
      </c>
      <c r="L17" s="1">
        <v>8355840</v>
      </c>
      <c r="M17" s="1">
        <v>8355840</v>
      </c>
    </row>
    <row r="18" spans="1:13">
      <c r="A18">
        <v>16</v>
      </c>
      <c r="B18" s="1">
        <v>3</v>
      </c>
      <c r="C18" s="1">
        <v>2</v>
      </c>
      <c r="D18" s="1">
        <v>1</v>
      </c>
      <c r="E18" s="1">
        <v>1</v>
      </c>
      <c r="F18" s="1" t="s">
        <v>27</v>
      </c>
      <c r="I18" s="1">
        <v>113</v>
      </c>
      <c r="J18" s="1" t="s">
        <v>17</v>
      </c>
      <c r="K18" s="1" t="s">
        <v>15</v>
      </c>
      <c r="L18" s="1">
        <v>8355967</v>
      </c>
      <c r="M18" s="1">
        <v>8355840</v>
      </c>
    </row>
    <row r="19" spans="1:13">
      <c r="A19">
        <v>17</v>
      </c>
      <c r="B19" s="1">
        <v>3</v>
      </c>
      <c r="C19" s="1">
        <v>3</v>
      </c>
      <c r="D19" s="1">
        <v>1</v>
      </c>
      <c r="E19" s="1">
        <v>1</v>
      </c>
      <c r="F19" s="1" t="s">
        <v>17</v>
      </c>
      <c r="I19" s="1">
        <v>118</v>
      </c>
      <c r="J19" s="1" t="s">
        <v>17</v>
      </c>
      <c r="K19" s="1" t="s">
        <v>17</v>
      </c>
      <c r="L19" s="1">
        <v>8355967</v>
      </c>
      <c r="M19" s="1">
        <v>8355967</v>
      </c>
    </row>
    <row r="20" spans="1:13">
      <c r="A20">
        <v>18</v>
      </c>
      <c r="B20" s="1">
        <v>3</v>
      </c>
      <c r="C20" s="1">
        <v>1</v>
      </c>
      <c r="D20" s="1">
        <v>2</v>
      </c>
      <c r="E20" s="1">
        <v>1</v>
      </c>
      <c r="F20" s="1" t="s">
        <v>31</v>
      </c>
      <c r="I20" s="1">
        <v>133</v>
      </c>
      <c r="J20" s="1" t="s">
        <v>23</v>
      </c>
      <c r="K20" s="1" t="s">
        <v>13</v>
      </c>
      <c r="L20" s="1">
        <v>16711935</v>
      </c>
      <c r="M20" s="1">
        <v>127</v>
      </c>
    </row>
    <row r="21" spans="1:13">
      <c r="A21">
        <v>19</v>
      </c>
      <c r="B21" s="1">
        <v>3</v>
      </c>
      <c r="C21" s="1">
        <v>1</v>
      </c>
      <c r="D21" s="1">
        <v>2</v>
      </c>
      <c r="E21" s="1">
        <v>2</v>
      </c>
      <c r="F21" s="1" t="s">
        <v>44</v>
      </c>
      <c r="I21" s="1">
        <v>208</v>
      </c>
      <c r="J21" s="1" t="s">
        <v>23</v>
      </c>
      <c r="K21" s="1" t="s">
        <v>21</v>
      </c>
      <c r="L21" s="1">
        <v>16711935</v>
      </c>
      <c r="M21" s="1">
        <v>255</v>
      </c>
    </row>
    <row r="22" spans="1:13">
      <c r="A22">
        <v>20</v>
      </c>
      <c r="B22" s="1">
        <v>4</v>
      </c>
      <c r="C22" s="1">
        <v>1</v>
      </c>
      <c r="D22" s="1">
        <v>2</v>
      </c>
      <c r="E22" s="1">
        <v>1</v>
      </c>
      <c r="F22" s="1" t="s">
        <v>32</v>
      </c>
      <c r="I22" s="1">
        <v>134</v>
      </c>
      <c r="J22" s="1" t="s">
        <v>24</v>
      </c>
      <c r="K22" s="1" t="s">
        <v>13</v>
      </c>
      <c r="L22" s="1">
        <v>65280</v>
      </c>
      <c r="M22" s="1">
        <v>127</v>
      </c>
    </row>
    <row r="23" spans="1:13">
      <c r="A23">
        <v>21</v>
      </c>
      <c r="B23" s="1">
        <v>2</v>
      </c>
      <c r="C23" s="1">
        <v>4</v>
      </c>
      <c r="D23" s="1">
        <v>2</v>
      </c>
      <c r="E23" s="1">
        <v>1</v>
      </c>
      <c r="F23" s="1" t="s">
        <v>41</v>
      </c>
      <c r="I23" s="1">
        <v>147</v>
      </c>
      <c r="J23" s="1" t="s">
        <v>22</v>
      </c>
      <c r="K23" s="1" t="s">
        <v>19</v>
      </c>
      <c r="L23" s="1">
        <v>16711680</v>
      </c>
      <c r="M23" s="1">
        <v>32640</v>
      </c>
    </row>
    <row r="24" spans="1:13">
      <c r="A24">
        <v>22</v>
      </c>
      <c r="B24" s="1">
        <v>3</v>
      </c>
      <c r="C24" s="1">
        <v>4</v>
      </c>
      <c r="D24" s="1">
        <v>2</v>
      </c>
      <c r="E24" s="1">
        <v>1</v>
      </c>
      <c r="F24" s="1" t="s">
        <v>42</v>
      </c>
      <c r="I24" s="1">
        <v>148</v>
      </c>
      <c r="J24" s="1" t="s">
        <v>23</v>
      </c>
      <c r="K24" s="1" t="s">
        <v>19</v>
      </c>
      <c r="L24" s="1">
        <v>16711935</v>
      </c>
      <c r="M24" s="1">
        <v>32640</v>
      </c>
    </row>
    <row r="25" spans="1:13">
      <c r="A25">
        <v>23</v>
      </c>
      <c r="B25" s="1">
        <v>4</v>
      </c>
      <c r="C25" s="1">
        <v>1</v>
      </c>
      <c r="D25" s="1">
        <v>2</v>
      </c>
      <c r="E25" s="1">
        <v>2</v>
      </c>
      <c r="F25" s="1" t="s">
        <v>45</v>
      </c>
      <c r="I25" s="1">
        <v>209</v>
      </c>
      <c r="J25" s="1" t="s">
        <v>24</v>
      </c>
      <c r="K25" s="1" t="s">
        <v>21</v>
      </c>
      <c r="L25" s="1">
        <v>65280</v>
      </c>
      <c r="M25" s="1">
        <v>255</v>
      </c>
    </row>
    <row r="26" spans="1:13">
      <c r="A26">
        <v>24</v>
      </c>
      <c r="B26" s="1">
        <v>4</v>
      </c>
      <c r="C26" s="1">
        <v>2</v>
      </c>
      <c r="D26" s="1">
        <v>2</v>
      </c>
      <c r="E26" s="1">
        <v>2</v>
      </c>
      <c r="F26" s="1" t="s">
        <v>47</v>
      </c>
      <c r="I26" s="1">
        <v>214</v>
      </c>
      <c r="J26" s="1" t="s">
        <v>24</v>
      </c>
      <c r="K26" s="1" t="s">
        <v>22</v>
      </c>
      <c r="L26" s="1">
        <v>65280</v>
      </c>
      <c r="M26" s="1">
        <v>16711680</v>
      </c>
    </row>
    <row r="27" spans="1:13">
      <c r="A27">
        <v>25</v>
      </c>
      <c r="B27" s="1">
        <v>4</v>
      </c>
      <c r="C27" s="1">
        <v>3</v>
      </c>
      <c r="D27" s="1">
        <v>2</v>
      </c>
      <c r="E27" s="1">
        <v>2</v>
      </c>
      <c r="F27" s="1" t="s">
        <v>48</v>
      </c>
      <c r="I27" s="1">
        <v>219</v>
      </c>
      <c r="J27" s="1" t="s">
        <v>24</v>
      </c>
      <c r="K27" s="1" t="s">
        <v>23</v>
      </c>
      <c r="L27" s="1">
        <v>65280</v>
      </c>
      <c r="M27" s="1">
        <v>16711935</v>
      </c>
    </row>
    <row r="28" spans="1:13">
      <c r="A28">
        <v>26</v>
      </c>
      <c r="B28" s="1">
        <v>1</v>
      </c>
      <c r="C28" s="1">
        <v>1</v>
      </c>
      <c r="D28" s="1">
        <v>2</v>
      </c>
      <c r="E28" s="1">
        <v>1</v>
      </c>
      <c r="F28" s="1" t="s">
        <v>30</v>
      </c>
      <c r="I28" s="1">
        <v>131</v>
      </c>
      <c r="J28" s="1" t="s">
        <v>21</v>
      </c>
      <c r="K28" s="1" t="s">
        <v>13</v>
      </c>
      <c r="L28" s="1">
        <v>255</v>
      </c>
      <c r="M28" s="1">
        <v>127</v>
      </c>
    </row>
    <row r="29" spans="1:13">
      <c r="A29">
        <v>27</v>
      </c>
      <c r="B29" s="1">
        <v>4</v>
      </c>
      <c r="C29" s="1">
        <v>4</v>
      </c>
      <c r="D29" s="1">
        <v>2</v>
      </c>
      <c r="E29" s="1">
        <v>1</v>
      </c>
      <c r="F29" s="1" t="s">
        <v>43</v>
      </c>
      <c r="I29" s="1">
        <v>149</v>
      </c>
      <c r="J29" s="1" t="s">
        <v>24</v>
      </c>
      <c r="K29" s="1" t="s">
        <v>19</v>
      </c>
      <c r="L29" s="1">
        <v>65280</v>
      </c>
      <c r="M29" s="1">
        <v>32640</v>
      </c>
    </row>
    <row r="30" spans="1:13">
      <c r="A30">
        <v>28</v>
      </c>
      <c r="B30" s="1">
        <v>2</v>
      </c>
      <c r="C30" s="1">
        <v>2</v>
      </c>
      <c r="D30" s="1">
        <v>2</v>
      </c>
      <c r="E30" s="1">
        <v>1</v>
      </c>
      <c r="F30" s="1" t="s">
        <v>33</v>
      </c>
      <c r="I30" s="1">
        <v>137</v>
      </c>
      <c r="J30" s="1" t="s">
        <v>22</v>
      </c>
      <c r="K30" s="1" t="s">
        <v>15</v>
      </c>
      <c r="L30" s="1">
        <v>16711680</v>
      </c>
      <c r="M30" s="1">
        <v>8355840</v>
      </c>
    </row>
    <row r="31" spans="1:13">
      <c r="A31">
        <v>29</v>
      </c>
      <c r="B31" s="1">
        <v>2</v>
      </c>
      <c r="C31" s="1">
        <v>3</v>
      </c>
      <c r="D31" s="1">
        <v>2</v>
      </c>
      <c r="E31" s="1">
        <v>1</v>
      </c>
      <c r="F31" s="1" t="s">
        <v>37</v>
      </c>
      <c r="I31" s="1">
        <v>142</v>
      </c>
      <c r="J31" s="1" t="s">
        <v>22</v>
      </c>
      <c r="K31" s="1" t="s">
        <v>17</v>
      </c>
      <c r="L31" s="1">
        <v>16711680</v>
      </c>
      <c r="M31" s="1">
        <v>8355967</v>
      </c>
    </row>
    <row r="32" spans="1:13">
      <c r="A32">
        <v>30</v>
      </c>
      <c r="B32" s="1">
        <v>3</v>
      </c>
      <c r="C32" s="1">
        <v>2</v>
      </c>
      <c r="D32" s="1">
        <v>2</v>
      </c>
      <c r="E32" s="1">
        <v>1</v>
      </c>
      <c r="F32" s="1" t="s">
        <v>34</v>
      </c>
      <c r="I32" s="1">
        <v>138</v>
      </c>
      <c r="J32" s="1" t="s">
        <v>23</v>
      </c>
      <c r="K32" s="1" t="s">
        <v>15</v>
      </c>
      <c r="L32" s="1">
        <v>16711935</v>
      </c>
      <c r="M32" s="1">
        <v>8355840</v>
      </c>
    </row>
    <row r="33" spans="1:38">
      <c r="A33">
        <v>31</v>
      </c>
      <c r="B33" s="1">
        <v>3</v>
      </c>
      <c r="C33" s="1">
        <v>3</v>
      </c>
      <c r="D33" s="1">
        <v>2</v>
      </c>
      <c r="E33" s="1">
        <v>1</v>
      </c>
      <c r="F33" s="1" t="s">
        <v>38</v>
      </c>
      <c r="I33" s="1">
        <v>143</v>
      </c>
      <c r="J33" s="1" t="s">
        <v>23</v>
      </c>
      <c r="K33" s="1" t="s">
        <v>17</v>
      </c>
      <c r="L33" s="1">
        <v>16711935</v>
      </c>
      <c r="M33" s="1">
        <v>8355967</v>
      </c>
    </row>
    <row r="34" spans="1:38">
      <c r="A34">
        <v>32</v>
      </c>
      <c r="B34" s="1">
        <v>1</v>
      </c>
      <c r="C34" s="1">
        <v>1</v>
      </c>
      <c r="D34" s="1">
        <v>2</v>
      </c>
      <c r="E34" s="1">
        <v>2</v>
      </c>
      <c r="F34" s="1" t="s">
        <v>21</v>
      </c>
      <c r="I34" s="1">
        <v>206</v>
      </c>
      <c r="J34" s="1" t="s">
        <v>21</v>
      </c>
      <c r="K34" s="1" t="s">
        <v>21</v>
      </c>
      <c r="L34" s="1">
        <v>255</v>
      </c>
      <c r="M34" s="1">
        <v>255</v>
      </c>
    </row>
    <row r="35" spans="1:38">
      <c r="A35">
        <v>33</v>
      </c>
      <c r="B35" s="1">
        <v>4</v>
      </c>
      <c r="C35" s="1">
        <v>4</v>
      </c>
      <c r="D35" s="1">
        <v>2</v>
      </c>
      <c r="E35" s="1">
        <v>2</v>
      </c>
      <c r="F35" s="1" t="s">
        <v>24</v>
      </c>
      <c r="I35" s="1">
        <v>224</v>
      </c>
      <c r="J35" s="1" t="s">
        <v>24</v>
      </c>
      <c r="K35" s="1" t="s">
        <v>24</v>
      </c>
      <c r="L35" s="1">
        <v>65280</v>
      </c>
      <c r="M35" s="1">
        <v>65280</v>
      </c>
    </row>
    <row r="36" spans="1:38">
      <c r="A36">
        <v>34</v>
      </c>
      <c r="B36" s="1">
        <v>2</v>
      </c>
      <c r="C36" s="1">
        <v>2</v>
      </c>
      <c r="D36" s="1">
        <v>2</v>
      </c>
      <c r="E36" s="1">
        <v>2</v>
      </c>
      <c r="F36" s="1" t="s">
        <v>22</v>
      </c>
      <c r="I36" s="1">
        <v>212</v>
      </c>
      <c r="J36" s="1" t="s">
        <v>22</v>
      </c>
      <c r="K36" s="1" t="s">
        <v>22</v>
      </c>
      <c r="L36" s="1">
        <v>16711680</v>
      </c>
      <c r="M36" s="1">
        <v>16711680</v>
      </c>
    </row>
    <row r="37" spans="1:38">
      <c r="A37">
        <v>35</v>
      </c>
      <c r="B37" s="1">
        <v>3</v>
      </c>
      <c r="C37" s="1">
        <v>2</v>
      </c>
      <c r="D37" s="1">
        <v>2</v>
      </c>
      <c r="E37" s="1">
        <v>2</v>
      </c>
      <c r="F37" s="1" t="s">
        <v>46</v>
      </c>
      <c r="I37" s="1">
        <v>213</v>
      </c>
      <c r="J37" s="1" t="s">
        <v>23</v>
      </c>
      <c r="K37" s="1" t="s">
        <v>22</v>
      </c>
      <c r="L37" s="1">
        <v>16711935</v>
      </c>
      <c r="M37" s="1">
        <v>16711680</v>
      </c>
    </row>
    <row r="38" spans="1:38">
      <c r="A38">
        <v>36</v>
      </c>
      <c r="B38" s="1">
        <v>3</v>
      </c>
      <c r="C38" s="1">
        <v>3</v>
      </c>
      <c r="D38" s="1">
        <v>2</v>
      </c>
      <c r="E38" s="1">
        <v>2</v>
      </c>
      <c r="F38" s="1" t="s">
        <v>23</v>
      </c>
      <c r="I38" s="1">
        <v>218</v>
      </c>
      <c r="J38" s="1" t="s">
        <v>23</v>
      </c>
      <c r="K38" s="1" t="s">
        <v>23</v>
      </c>
      <c r="L38" s="1">
        <v>16711935</v>
      </c>
      <c r="M38" s="1">
        <v>16711935</v>
      </c>
    </row>
    <row r="41" spans="1:38">
      <c r="B41" s="1">
        <v>0</v>
      </c>
      <c r="C41" s="1">
        <v>1</v>
      </c>
      <c r="D41" s="1">
        <v>4</v>
      </c>
      <c r="E41" s="1">
        <v>2</v>
      </c>
      <c r="F41" s="1">
        <v>3</v>
      </c>
      <c r="G41" s="1">
        <v>3</v>
      </c>
      <c r="H41" s="1">
        <v>1</v>
      </c>
      <c r="I41" s="1">
        <v>4</v>
      </c>
      <c r="J41" s="1">
        <v>4</v>
      </c>
      <c r="K41" s="1">
        <v>4</v>
      </c>
      <c r="L41" s="1">
        <v>1</v>
      </c>
      <c r="M41" s="1">
        <v>4</v>
      </c>
      <c r="N41" s="1">
        <v>4</v>
      </c>
      <c r="O41" s="1">
        <v>1</v>
      </c>
      <c r="P41" s="1">
        <v>4</v>
      </c>
      <c r="Q41" s="1">
        <v>2</v>
      </c>
      <c r="R41" s="1">
        <v>3</v>
      </c>
      <c r="S41" s="1">
        <v>3</v>
      </c>
      <c r="T41" s="1">
        <v>3</v>
      </c>
      <c r="U41" s="1">
        <v>3</v>
      </c>
      <c r="V41" s="1">
        <v>4</v>
      </c>
      <c r="W41" s="1">
        <v>2</v>
      </c>
      <c r="X41" s="1">
        <v>3</v>
      </c>
      <c r="Y41" s="1">
        <v>4</v>
      </c>
      <c r="Z41" s="1">
        <v>4</v>
      </c>
      <c r="AA41" s="1">
        <v>4</v>
      </c>
      <c r="AB41" s="1">
        <v>1</v>
      </c>
      <c r="AC41" s="1">
        <v>4</v>
      </c>
      <c r="AD41" s="1">
        <v>2</v>
      </c>
      <c r="AE41" s="1">
        <v>2</v>
      </c>
      <c r="AF41" s="1">
        <v>3</v>
      </c>
      <c r="AG41" s="1">
        <v>3</v>
      </c>
      <c r="AH41" s="1">
        <v>1</v>
      </c>
      <c r="AI41" s="1">
        <v>4</v>
      </c>
      <c r="AJ41" s="1">
        <v>2</v>
      </c>
      <c r="AK41" s="1">
        <v>3</v>
      </c>
      <c r="AL41" s="1">
        <v>3</v>
      </c>
    </row>
    <row r="42" spans="1:38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3</v>
      </c>
      <c r="I42" s="1">
        <v>1</v>
      </c>
      <c r="J42" s="1">
        <v>2</v>
      </c>
      <c r="K42" s="1">
        <v>3</v>
      </c>
      <c r="L42" s="1">
        <v>4</v>
      </c>
      <c r="M42" s="1">
        <v>2</v>
      </c>
      <c r="N42" s="1">
        <v>3</v>
      </c>
      <c r="O42" s="1">
        <v>1</v>
      </c>
      <c r="P42" s="1">
        <v>4</v>
      </c>
      <c r="Q42" s="1">
        <v>2</v>
      </c>
      <c r="R42" s="1">
        <v>2</v>
      </c>
      <c r="S42" s="1">
        <v>3</v>
      </c>
      <c r="T42" s="1">
        <v>1</v>
      </c>
      <c r="U42" s="1">
        <v>1</v>
      </c>
      <c r="V42" s="1">
        <v>1</v>
      </c>
      <c r="W42" s="1">
        <v>4</v>
      </c>
      <c r="X42" s="1">
        <v>4</v>
      </c>
      <c r="Y42" s="1">
        <v>1</v>
      </c>
      <c r="Z42" s="1">
        <v>2</v>
      </c>
      <c r="AA42" s="1">
        <v>3</v>
      </c>
      <c r="AB42" s="1">
        <v>1</v>
      </c>
      <c r="AC42" s="1">
        <v>4</v>
      </c>
      <c r="AD42" s="1">
        <v>2</v>
      </c>
      <c r="AE42" s="1">
        <v>3</v>
      </c>
      <c r="AF42" s="1">
        <v>2</v>
      </c>
      <c r="AG42" s="1">
        <v>3</v>
      </c>
      <c r="AH42" s="1">
        <v>1</v>
      </c>
      <c r="AI42" s="1">
        <v>4</v>
      </c>
      <c r="AJ42" s="1">
        <v>2</v>
      </c>
      <c r="AK42" s="1">
        <v>2</v>
      </c>
      <c r="AL42" s="1">
        <v>3</v>
      </c>
    </row>
    <row r="43" spans="1:38"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2</v>
      </c>
      <c r="I43" s="1">
        <v>1</v>
      </c>
      <c r="J43" s="1">
        <v>1</v>
      </c>
      <c r="K43" s="1">
        <v>1</v>
      </c>
      <c r="L43" s="1">
        <v>2</v>
      </c>
      <c r="M43" s="1">
        <v>2</v>
      </c>
      <c r="N43" s="1">
        <v>2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2</v>
      </c>
      <c r="AA43" s="1">
        <v>2</v>
      </c>
      <c r="AB43" s="1">
        <v>2</v>
      </c>
      <c r="AC43" s="1">
        <v>2</v>
      </c>
      <c r="AD43" s="1">
        <v>2</v>
      </c>
      <c r="AE43" s="1">
        <v>2</v>
      </c>
      <c r="AF43" s="1">
        <v>2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2</v>
      </c>
    </row>
    <row r="44" spans="1:38"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2</v>
      </c>
      <c r="V44" s="1">
        <v>1</v>
      </c>
      <c r="W44" s="1">
        <v>1</v>
      </c>
      <c r="X44" s="1">
        <v>1</v>
      </c>
      <c r="Y44" s="1">
        <v>2</v>
      </c>
      <c r="Z44" s="1">
        <v>2</v>
      </c>
      <c r="AA44" s="1">
        <v>2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2</v>
      </c>
      <c r="AI44" s="1">
        <v>2</v>
      </c>
      <c r="AJ44" s="1">
        <v>2</v>
      </c>
      <c r="AK44" s="1">
        <v>2</v>
      </c>
      <c r="AL44" s="1">
        <v>2</v>
      </c>
    </row>
    <row r="45" spans="1:38">
      <c r="B45" s="1" t="s">
        <v>12</v>
      </c>
      <c r="C45" s="1" t="s">
        <v>14</v>
      </c>
      <c r="D45" s="1" t="s">
        <v>20</v>
      </c>
      <c r="E45" s="1" t="s">
        <v>16</v>
      </c>
      <c r="F45" s="1" t="s">
        <v>18</v>
      </c>
      <c r="G45" s="1" t="s">
        <v>25</v>
      </c>
      <c r="H45" s="1" t="s">
        <v>36</v>
      </c>
      <c r="I45" s="1" t="s">
        <v>26</v>
      </c>
      <c r="J45" s="1" t="s">
        <v>28</v>
      </c>
      <c r="K45" s="1" t="s">
        <v>29</v>
      </c>
      <c r="L45" s="1" t="s">
        <v>40</v>
      </c>
      <c r="M45" s="1" t="s">
        <v>35</v>
      </c>
      <c r="N45" s="1" t="s">
        <v>39</v>
      </c>
      <c r="O45" s="1" t="s">
        <v>13</v>
      </c>
      <c r="P45" s="1" t="s">
        <v>19</v>
      </c>
      <c r="Q45" s="1" t="s">
        <v>15</v>
      </c>
      <c r="R45" s="1" t="s">
        <v>27</v>
      </c>
      <c r="S45" s="1" t="s">
        <v>17</v>
      </c>
      <c r="T45" s="1" t="s">
        <v>31</v>
      </c>
      <c r="U45" s="1" t="s">
        <v>44</v>
      </c>
      <c r="V45" s="1" t="s">
        <v>32</v>
      </c>
      <c r="W45" s="1" t="s">
        <v>41</v>
      </c>
      <c r="X45" s="1" t="s">
        <v>42</v>
      </c>
      <c r="Y45" s="1" t="s">
        <v>45</v>
      </c>
      <c r="Z45" s="1" t="s">
        <v>47</v>
      </c>
      <c r="AA45" s="1" t="s">
        <v>48</v>
      </c>
      <c r="AB45" s="1" t="s">
        <v>30</v>
      </c>
      <c r="AC45" s="1" t="s">
        <v>43</v>
      </c>
      <c r="AD45" s="1" t="s">
        <v>33</v>
      </c>
      <c r="AE45" s="1" t="s">
        <v>37</v>
      </c>
      <c r="AF45" s="1" t="s">
        <v>34</v>
      </c>
      <c r="AG45" s="1" t="s">
        <v>38</v>
      </c>
      <c r="AH45" s="1" t="s">
        <v>21</v>
      </c>
      <c r="AI45" s="1" t="s">
        <v>24</v>
      </c>
      <c r="AJ45" s="1" t="s">
        <v>22</v>
      </c>
      <c r="AK45" s="1" t="s">
        <v>46</v>
      </c>
      <c r="AL45" s="1" t="s">
        <v>23</v>
      </c>
    </row>
    <row r="46" spans="1:38">
      <c r="B46" s="1" t="str">
        <f>"0x"&amp;B45</f>
        <v>0x0</v>
      </c>
      <c r="C46" s="1" t="str">
        <f t="shared" ref="C46:AL46" si="0">"0x"&amp;C45</f>
        <v>0x3F</v>
      </c>
      <c r="D46" s="1" t="str">
        <f t="shared" si="0"/>
        <v>0x3FC0</v>
      </c>
      <c r="E46" s="1" t="str">
        <f t="shared" si="0"/>
        <v>0x3FC000</v>
      </c>
      <c r="F46" s="1" t="str">
        <f t="shared" si="0"/>
        <v>0x3FC03F</v>
      </c>
      <c r="G46" s="1" t="str">
        <f t="shared" si="0"/>
        <v>0x3FC07F</v>
      </c>
      <c r="H46" s="1" t="str">
        <f t="shared" si="0"/>
        <v>0x3FC0BF</v>
      </c>
      <c r="I46" s="1" t="str">
        <f t="shared" si="0"/>
        <v>0x3FFF</v>
      </c>
      <c r="J46" s="1" t="str">
        <f t="shared" si="0"/>
        <v>0x3FFFC0</v>
      </c>
      <c r="K46" s="1" t="str">
        <f t="shared" si="0"/>
        <v>0x3FFFFF</v>
      </c>
      <c r="L46" s="1" t="str">
        <f t="shared" si="0"/>
        <v>0x403F</v>
      </c>
      <c r="M46" s="1" t="str">
        <f t="shared" si="0"/>
        <v>0x403F80</v>
      </c>
      <c r="N46" s="1" t="str">
        <f t="shared" si="0"/>
        <v>0x403FBF</v>
      </c>
      <c r="O46" s="1" t="str">
        <f t="shared" si="0"/>
        <v>0x7F</v>
      </c>
      <c r="P46" s="1" t="str">
        <f t="shared" si="0"/>
        <v>0x7F80</v>
      </c>
      <c r="Q46" s="1" t="str">
        <f t="shared" si="0"/>
        <v>0x7F8000</v>
      </c>
      <c r="R46" s="1" t="str">
        <f t="shared" si="0"/>
        <v>0x7F803F</v>
      </c>
      <c r="S46" s="1" t="str">
        <f t="shared" si="0"/>
        <v>0x7F807F</v>
      </c>
      <c r="T46" s="1" t="str">
        <f t="shared" si="0"/>
        <v>0x7F80BF</v>
      </c>
      <c r="U46" s="1" t="str">
        <f t="shared" si="0"/>
        <v>0x7F80FF</v>
      </c>
      <c r="V46" s="1" t="str">
        <f t="shared" si="0"/>
        <v>0x7FBF</v>
      </c>
      <c r="W46" s="1" t="str">
        <f t="shared" si="0"/>
        <v>0x7FBFC0</v>
      </c>
      <c r="X46" s="1" t="str">
        <f t="shared" si="0"/>
        <v>0x7FC03F</v>
      </c>
      <c r="Y46" s="1" t="str">
        <f t="shared" si="0"/>
        <v>0x7FFF</v>
      </c>
      <c r="Z46" s="1" t="str">
        <f t="shared" si="0"/>
        <v>0x7FFF80</v>
      </c>
      <c r="AA46" s="1" t="str">
        <f t="shared" si="0"/>
        <v>0x7FFFFF</v>
      </c>
      <c r="AB46" s="1" t="str">
        <f t="shared" si="0"/>
        <v>0xBF</v>
      </c>
      <c r="AC46" s="1" t="str">
        <f t="shared" si="0"/>
        <v>0xBF40</v>
      </c>
      <c r="AD46" s="1" t="str">
        <f t="shared" si="0"/>
        <v>0xBF4000</v>
      </c>
      <c r="AE46" s="1" t="str">
        <f t="shared" si="0"/>
        <v>0xBF403F</v>
      </c>
      <c r="AF46" s="1" t="str">
        <f t="shared" si="0"/>
        <v>0xBF407F</v>
      </c>
      <c r="AG46" s="1" t="str">
        <f t="shared" si="0"/>
        <v>0xBF40BF</v>
      </c>
      <c r="AH46" s="1" t="str">
        <f t="shared" si="0"/>
        <v>0xFF</v>
      </c>
      <c r="AI46" s="1" t="str">
        <f t="shared" si="0"/>
        <v>0xFF00</v>
      </c>
      <c r="AJ46" s="1" t="str">
        <f t="shared" si="0"/>
        <v>0xFF0000</v>
      </c>
      <c r="AK46" s="1" t="str">
        <f t="shared" si="0"/>
        <v>0xFF007F</v>
      </c>
      <c r="AL46" s="1" t="str">
        <f t="shared" si="0"/>
        <v>0xFF00FF</v>
      </c>
    </row>
    <row r="47" spans="1:38">
      <c r="B47" s="1" t="str">
        <f>RIGHT("000000"&amp;B45,6)</f>
        <v>000000</v>
      </c>
      <c r="C47" s="1" t="str">
        <f t="shared" ref="C47:AL47" si="1">RIGHT("000000"&amp;C45,6)</f>
        <v>00003F</v>
      </c>
      <c r="D47" s="1" t="str">
        <f t="shared" si="1"/>
        <v>003FC0</v>
      </c>
      <c r="E47" s="1" t="str">
        <f t="shared" si="1"/>
        <v>3FC000</v>
      </c>
      <c r="F47" s="1" t="str">
        <f t="shared" si="1"/>
        <v>3FC03F</v>
      </c>
      <c r="G47" s="1" t="str">
        <f t="shared" si="1"/>
        <v>3FC07F</v>
      </c>
      <c r="H47" s="1" t="str">
        <f t="shared" si="1"/>
        <v>3FC0BF</v>
      </c>
      <c r="I47" s="1" t="str">
        <f t="shared" si="1"/>
        <v>003FFF</v>
      </c>
      <c r="J47" s="1" t="str">
        <f t="shared" si="1"/>
        <v>3FFFC0</v>
      </c>
      <c r="K47" s="1" t="str">
        <f t="shared" si="1"/>
        <v>3FFFFF</v>
      </c>
      <c r="L47" s="1" t="str">
        <f t="shared" si="1"/>
        <v>00403F</v>
      </c>
      <c r="M47" s="1" t="str">
        <f t="shared" si="1"/>
        <v>403F80</v>
      </c>
      <c r="N47" s="1" t="str">
        <f t="shared" si="1"/>
        <v>403FBF</v>
      </c>
      <c r="O47" s="1" t="str">
        <f t="shared" si="1"/>
        <v>00007F</v>
      </c>
      <c r="P47" s="1" t="str">
        <f t="shared" si="1"/>
        <v>007F80</v>
      </c>
      <c r="Q47" s="1" t="str">
        <f t="shared" si="1"/>
        <v>7F8000</v>
      </c>
      <c r="R47" s="1" t="str">
        <f t="shared" si="1"/>
        <v>7F803F</v>
      </c>
      <c r="S47" s="1" t="str">
        <f t="shared" si="1"/>
        <v>7F807F</v>
      </c>
      <c r="T47" s="1" t="str">
        <f t="shared" si="1"/>
        <v>7F80BF</v>
      </c>
      <c r="U47" s="1" t="str">
        <f t="shared" si="1"/>
        <v>7F80FF</v>
      </c>
      <c r="V47" s="1" t="str">
        <f t="shared" si="1"/>
        <v>007FBF</v>
      </c>
      <c r="W47" s="1" t="str">
        <f t="shared" si="1"/>
        <v>7FBFC0</v>
      </c>
      <c r="X47" s="1" t="str">
        <f t="shared" si="1"/>
        <v>7FC03F</v>
      </c>
      <c r="Y47" s="1" t="str">
        <f t="shared" si="1"/>
        <v>007FFF</v>
      </c>
      <c r="Z47" s="1" t="str">
        <f t="shared" si="1"/>
        <v>7FFF80</v>
      </c>
      <c r="AA47" s="1" t="str">
        <f t="shared" si="1"/>
        <v>7FFFFF</v>
      </c>
      <c r="AB47" s="1" t="str">
        <f t="shared" si="1"/>
        <v>0000BF</v>
      </c>
      <c r="AC47" s="1" t="str">
        <f t="shared" si="1"/>
        <v>00BF40</v>
      </c>
      <c r="AD47" s="1" t="str">
        <f t="shared" si="1"/>
        <v>BF4000</v>
      </c>
      <c r="AE47" s="1" t="str">
        <f t="shared" si="1"/>
        <v>BF403F</v>
      </c>
      <c r="AF47" s="1" t="str">
        <f t="shared" si="1"/>
        <v>BF407F</v>
      </c>
      <c r="AG47" s="1" t="str">
        <f t="shared" si="1"/>
        <v>BF40BF</v>
      </c>
      <c r="AH47" s="1" t="str">
        <f t="shared" si="1"/>
        <v>0000FF</v>
      </c>
      <c r="AI47" s="1" t="str">
        <f t="shared" si="1"/>
        <v>00FF00</v>
      </c>
      <c r="AJ47" s="1" t="str">
        <f t="shared" si="1"/>
        <v>FF0000</v>
      </c>
      <c r="AK47" s="1" t="str">
        <f t="shared" si="1"/>
        <v>FF007F</v>
      </c>
      <c r="AL47" s="1" t="str">
        <f t="shared" si="1"/>
        <v>FF00FF</v>
      </c>
    </row>
    <row r="48" spans="1:38">
      <c r="A48" t="s">
        <v>0</v>
      </c>
      <c r="B48" s="1" t="str">
        <f>"0x"&amp;MID(B47,1,2)</f>
        <v>0x00</v>
      </c>
      <c r="C48" s="1" t="str">
        <f t="shared" ref="C48:AL48" si="2">"0x"&amp;MID(C47,1,2)</f>
        <v>0x00</v>
      </c>
      <c r="D48" s="1" t="str">
        <f t="shared" si="2"/>
        <v>0x00</v>
      </c>
      <c r="E48" s="1" t="str">
        <f t="shared" si="2"/>
        <v>0x3F</v>
      </c>
      <c r="F48" s="1" t="str">
        <f t="shared" si="2"/>
        <v>0x3F</v>
      </c>
      <c r="G48" s="1" t="str">
        <f t="shared" si="2"/>
        <v>0x3F</v>
      </c>
      <c r="H48" s="1" t="str">
        <f t="shared" si="2"/>
        <v>0x3F</v>
      </c>
      <c r="I48" s="1" t="str">
        <f t="shared" si="2"/>
        <v>0x00</v>
      </c>
      <c r="J48" s="1" t="str">
        <f t="shared" si="2"/>
        <v>0x3F</v>
      </c>
      <c r="K48" s="1" t="str">
        <f t="shared" si="2"/>
        <v>0x3F</v>
      </c>
      <c r="L48" s="1" t="str">
        <f t="shared" si="2"/>
        <v>0x00</v>
      </c>
      <c r="M48" s="1" t="str">
        <f t="shared" si="2"/>
        <v>0x40</v>
      </c>
      <c r="N48" s="1" t="str">
        <f t="shared" si="2"/>
        <v>0x40</v>
      </c>
      <c r="O48" s="1" t="str">
        <f t="shared" si="2"/>
        <v>0x00</v>
      </c>
      <c r="P48" s="1" t="str">
        <f t="shared" si="2"/>
        <v>0x00</v>
      </c>
      <c r="Q48" s="1" t="str">
        <f t="shared" si="2"/>
        <v>0x7F</v>
      </c>
      <c r="R48" s="1" t="str">
        <f t="shared" si="2"/>
        <v>0x7F</v>
      </c>
      <c r="S48" s="1" t="str">
        <f t="shared" si="2"/>
        <v>0x7F</v>
      </c>
      <c r="T48" s="1" t="str">
        <f t="shared" si="2"/>
        <v>0x7F</v>
      </c>
      <c r="U48" s="1" t="str">
        <f t="shared" si="2"/>
        <v>0x7F</v>
      </c>
      <c r="V48" s="1" t="str">
        <f t="shared" si="2"/>
        <v>0x00</v>
      </c>
      <c r="W48" s="1" t="str">
        <f t="shared" si="2"/>
        <v>0x7F</v>
      </c>
      <c r="X48" s="1" t="str">
        <f t="shared" si="2"/>
        <v>0x7F</v>
      </c>
      <c r="Y48" s="1" t="str">
        <f t="shared" si="2"/>
        <v>0x00</v>
      </c>
      <c r="Z48" s="1" t="str">
        <f t="shared" si="2"/>
        <v>0x7F</v>
      </c>
      <c r="AA48" s="1" t="str">
        <f t="shared" si="2"/>
        <v>0x7F</v>
      </c>
      <c r="AB48" s="1" t="str">
        <f t="shared" si="2"/>
        <v>0x00</v>
      </c>
      <c r="AC48" s="1" t="str">
        <f t="shared" si="2"/>
        <v>0x00</v>
      </c>
      <c r="AD48" s="1" t="str">
        <f t="shared" si="2"/>
        <v>0xBF</v>
      </c>
      <c r="AE48" s="1" t="str">
        <f t="shared" si="2"/>
        <v>0xBF</v>
      </c>
      <c r="AF48" s="1" t="str">
        <f t="shared" si="2"/>
        <v>0xBF</v>
      </c>
      <c r="AG48" s="1" t="str">
        <f t="shared" si="2"/>
        <v>0xBF</v>
      </c>
      <c r="AH48" s="1" t="str">
        <f t="shared" si="2"/>
        <v>0x00</v>
      </c>
      <c r="AI48" s="1" t="str">
        <f t="shared" si="2"/>
        <v>0x00</v>
      </c>
      <c r="AJ48" s="1" t="str">
        <f t="shared" si="2"/>
        <v>0xFF</v>
      </c>
      <c r="AK48" s="1" t="str">
        <f t="shared" si="2"/>
        <v>0xFF</v>
      </c>
      <c r="AL48" s="1" t="str">
        <f t="shared" si="2"/>
        <v>0xFF</v>
      </c>
    </row>
    <row r="49" spans="1:38">
      <c r="A49" t="s">
        <v>1</v>
      </c>
      <c r="B49" s="1" t="str">
        <f>"0x"&amp;MID(B$47,3,2)</f>
        <v>0x00</v>
      </c>
      <c r="C49" s="1" t="str">
        <f t="shared" ref="C49:AL49" si="3">"0x"&amp;MID(C$47,3,2)</f>
        <v>0x00</v>
      </c>
      <c r="D49" s="1" t="str">
        <f t="shared" si="3"/>
        <v>0x3F</v>
      </c>
      <c r="E49" s="1" t="str">
        <f t="shared" si="3"/>
        <v>0xC0</v>
      </c>
      <c r="F49" s="1" t="str">
        <f t="shared" si="3"/>
        <v>0xC0</v>
      </c>
      <c r="G49" s="1" t="str">
        <f t="shared" si="3"/>
        <v>0xC0</v>
      </c>
      <c r="H49" s="1" t="str">
        <f t="shared" si="3"/>
        <v>0xC0</v>
      </c>
      <c r="I49" s="1" t="str">
        <f t="shared" si="3"/>
        <v>0x3F</v>
      </c>
      <c r="J49" s="1" t="str">
        <f t="shared" si="3"/>
        <v>0xFF</v>
      </c>
      <c r="K49" s="1" t="str">
        <f t="shared" si="3"/>
        <v>0xFF</v>
      </c>
      <c r="L49" s="1" t="str">
        <f t="shared" si="3"/>
        <v>0x40</v>
      </c>
      <c r="M49" s="1" t="str">
        <f t="shared" si="3"/>
        <v>0x3F</v>
      </c>
      <c r="N49" s="1" t="str">
        <f t="shared" si="3"/>
        <v>0x3F</v>
      </c>
      <c r="O49" s="1" t="str">
        <f t="shared" si="3"/>
        <v>0x00</v>
      </c>
      <c r="P49" s="1" t="str">
        <f t="shared" si="3"/>
        <v>0x7F</v>
      </c>
      <c r="Q49" s="1" t="str">
        <f t="shared" si="3"/>
        <v>0x80</v>
      </c>
      <c r="R49" s="1" t="str">
        <f t="shared" si="3"/>
        <v>0x80</v>
      </c>
      <c r="S49" s="1" t="str">
        <f t="shared" si="3"/>
        <v>0x80</v>
      </c>
      <c r="T49" s="1" t="str">
        <f t="shared" si="3"/>
        <v>0x80</v>
      </c>
      <c r="U49" s="1" t="str">
        <f t="shared" si="3"/>
        <v>0x80</v>
      </c>
      <c r="V49" s="1" t="str">
        <f t="shared" si="3"/>
        <v>0x7F</v>
      </c>
      <c r="W49" s="1" t="str">
        <f t="shared" si="3"/>
        <v>0xBF</v>
      </c>
      <c r="X49" s="1" t="str">
        <f t="shared" si="3"/>
        <v>0xC0</v>
      </c>
      <c r="Y49" s="1" t="str">
        <f t="shared" si="3"/>
        <v>0x7F</v>
      </c>
      <c r="Z49" s="1" t="str">
        <f t="shared" si="3"/>
        <v>0xFF</v>
      </c>
      <c r="AA49" s="1" t="str">
        <f t="shared" si="3"/>
        <v>0xFF</v>
      </c>
      <c r="AB49" s="1" t="str">
        <f t="shared" si="3"/>
        <v>0x00</v>
      </c>
      <c r="AC49" s="1" t="str">
        <f t="shared" si="3"/>
        <v>0xBF</v>
      </c>
      <c r="AD49" s="1" t="str">
        <f t="shared" si="3"/>
        <v>0x40</v>
      </c>
      <c r="AE49" s="1" t="str">
        <f t="shared" si="3"/>
        <v>0x40</v>
      </c>
      <c r="AF49" s="1" t="str">
        <f t="shared" si="3"/>
        <v>0x40</v>
      </c>
      <c r="AG49" s="1" t="str">
        <f t="shared" si="3"/>
        <v>0x40</v>
      </c>
      <c r="AH49" s="1" t="str">
        <f t="shared" si="3"/>
        <v>0x00</v>
      </c>
      <c r="AI49" s="1" t="str">
        <f t="shared" si="3"/>
        <v>0xFF</v>
      </c>
      <c r="AJ49" s="1" t="str">
        <f t="shared" si="3"/>
        <v>0x00</v>
      </c>
      <c r="AK49" s="1" t="str">
        <f t="shared" si="3"/>
        <v>0x00</v>
      </c>
      <c r="AL49" s="1" t="str">
        <f t="shared" si="3"/>
        <v>0x00</v>
      </c>
    </row>
    <row r="50" spans="1:38">
      <c r="A50" t="s">
        <v>2</v>
      </c>
      <c r="B50" s="1" t="str">
        <f>"0x"&amp;MID(B$47,5,2)</f>
        <v>0x00</v>
      </c>
      <c r="C50" s="1" t="str">
        <f t="shared" ref="C50:AL50" si="4">"0x"&amp;MID(C$47,5,2)</f>
        <v>0x3F</v>
      </c>
      <c r="D50" s="1" t="str">
        <f t="shared" si="4"/>
        <v>0xC0</v>
      </c>
      <c r="E50" s="1" t="str">
        <f t="shared" si="4"/>
        <v>0x00</v>
      </c>
      <c r="F50" s="1" t="str">
        <f t="shared" si="4"/>
        <v>0x3F</v>
      </c>
      <c r="G50" s="1" t="str">
        <f t="shared" si="4"/>
        <v>0x7F</v>
      </c>
      <c r="H50" s="1" t="str">
        <f t="shared" si="4"/>
        <v>0xBF</v>
      </c>
      <c r="I50" s="1" t="str">
        <f t="shared" si="4"/>
        <v>0xFF</v>
      </c>
      <c r="J50" s="1" t="str">
        <f t="shared" si="4"/>
        <v>0xC0</v>
      </c>
      <c r="K50" s="1" t="str">
        <f t="shared" si="4"/>
        <v>0xFF</v>
      </c>
      <c r="L50" s="1" t="str">
        <f t="shared" si="4"/>
        <v>0x3F</v>
      </c>
      <c r="M50" s="1" t="str">
        <f t="shared" si="4"/>
        <v>0x80</v>
      </c>
      <c r="N50" s="1" t="str">
        <f t="shared" si="4"/>
        <v>0xBF</v>
      </c>
      <c r="O50" s="1" t="str">
        <f t="shared" si="4"/>
        <v>0x7F</v>
      </c>
      <c r="P50" s="1" t="str">
        <f t="shared" si="4"/>
        <v>0x80</v>
      </c>
      <c r="Q50" s="1" t="str">
        <f t="shared" si="4"/>
        <v>0x00</v>
      </c>
      <c r="R50" s="1" t="str">
        <f t="shared" si="4"/>
        <v>0x3F</v>
      </c>
      <c r="S50" s="1" t="str">
        <f t="shared" si="4"/>
        <v>0x7F</v>
      </c>
      <c r="T50" s="1" t="str">
        <f t="shared" si="4"/>
        <v>0xBF</v>
      </c>
      <c r="U50" s="1" t="str">
        <f t="shared" si="4"/>
        <v>0xFF</v>
      </c>
      <c r="V50" s="1" t="str">
        <f t="shared" si="4"/>
        <v>0xBF</v>
      </c>
      <c r="W50" s="1" t="str">
        <f t="shared" si="4"/>
        <v>0xC0</v>
      </c>
      <c r="X50" s="1" t="str">
        <f t="shared" si="4"/>
        <v>0x3F</v>
      </c>
      <c r="Y50" s="1" t="str">
        <f t="shared" si="4"/>
        <v>0xFF</v>
      </c>
      <c r="Z50" s="1" t="str">
        <f t="shared" si="4"/>
        <v>0x80</v>
      </c>
      <c r="AA50" s="1" t="str">
        <f t="shared" si="4"/>
        <v>0xFF</v>
      </c>
      <c r="AB50" s="1" t="str">
        <f t="shared" si="4"/>
        <v>0xBF</v>
      </c>
      <c r="AC50" s="1" t="str">
        <f t="shared" si="4"/>
        <v>0x40</v>
      </c>
      <c r="AD50" s="1" t="str">
        <f t="shared" si="4"/>
        <v>0x00</v>
      </c>
      <c r="AE50" s="1" t="str">
        <f t="shared" si="4"/>
        <v>0x3F</v>
      </c>
      <c r="AF50" s="1" t="str">
        <f t="shared" si="4"/>
        <v>0x7F</v>
      </c>
      <c r="AG50" s="1" t="str">
        <f t="shared" si="4"/>
        <v>0xBF</v>
      </c>
      <c r="AH50" s="1" t="str">
        <f t="shared" si="4"/>
        <v>0xFF</v>
      </c>
      <c r="AI50" s="1" t="str">
        <f t="shared" si="4"/>
        <v>0x00</v>
      </c>
      <c r="AJ50" s="1" t="str">
        <f t="shared" si="4"/>
        <v>0x00</v>
      </c>
      <c r="AK50" s="1" t="str">
        <f t="shared" si="4"/>
        <v>0x7F</v>
      </c>
      <c r="AL50" s="1" t="str">
        <f t="shared" si="4"/>
        <v>0xFF</v>
      </c>
    </row>
    <row r="51" spans="1:38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>
      <c r="A52" s="6" t="s">
        <v>68</v>
      </c>
      <c r="B52" t="str">
        <f t="shared" ref="B52:AL52" si="5">A52&amp;B41&amp;", "</f>
        <v xml:space="preserve">newArray(0, </v>
      </c>
      <c r="C52" t="str">
        <f t="shared" si="5"/>
        <v xml:space="preserve">newArray(0, 1, </v>
      </c>
      <c r="D52" t="str">
        <f t="shared" si="5"/>
        <v xml:space="preserve">newArray(0, 1, 4, </v>
      </c>
      <c r="E52" t="str">
        <f t="shared" si="5"/>
        <v xml:space="preserve">newArray(0, 1, 4, 2, </v>
      </c>
      <c r="F52" t="str">
        <f t="shared" si="5"/>
        <v xml:space="preserve">newArray(0, 1, 4, 2, 3, </v>
      </c>
      <c r="G52" t="str">
        <f t="shared" si="5"/>
        <v xml:space="preserve">newArray(0, 1, 4, 2, 3, 3, </v>
      </c>
      <c r="H52" t="str">
        <f t="shared" si="5"/>
        <v xml:space="preserve">newArray(0, 1, 4, 2, 3, 3, 1, </v>
      </c>
      <c r="I52" t="str">
        <f t="shared" si="5"/>
        <v xml:space="preserve">newArray(0, 1, 4, 2, 3, 3, 1, 4, </v>
      </c>
      <c r="J52" t="str">
        <f t="shared" si="5"/>
        <v xml:space="preserve">newArray(0, 1, 4, 2, 3, 3, 1, 4, 4, </v>
      </c>
      <c r="K52" t="str">
        <f t="shared" si="5"/>
        <v xml:space="preserve">newArray(0, 1, 4, 2, 3, 3, 1, 4, 4, 4, </v>
      </c>
      <c r="L52" t="str">
        <f t="shared" si="5"/>
        <v xml:space="preserve">newArray(0, 1, 4, 2, 3, 3, 1, 4, 4, 4, 1, </v>
      </c>
      <c r="M52" t="str">
        <f t="shared" si="5"/>
        <v xml:space="preserve">newArray(0, 1, 4, 2, 3, 3, 1, 4, 4, 4, 1, 4, </v>
      </c>
      <c r="N52" t="str">
        <f t="shared" si="5"/>
        <v xml:space="preserve">newArray(0, 1, 4, 2, 3, 3, 1, 4, 4, 4, 1, 4, 4, </v>
      </c>
      <c r="O52" t="str">
        <f t="shared" si="5"/>
        <v xml:space="preserve">newArray(0, 1, 4, 2, 3, 3, 1, 4, 4, 4, 1, 4, 4, 1, </v>
      </c>
      <c r="P52" t="str">
        <f t="shared" si="5"/>
        <v xml:space="preserve">newArray(0, 1, 4, 2, 3, 3, 1, 4, 4, 4, 1, 4, 4, 1, 4, </v>
      </c>
      <c r="Q52" t="str">
        <f t="shared" si="5"/>
        <v xml:space="preserve">newArray(0, 1, 4, 2, 3, 3, 1, 4, 4, 4, 1, 4, 4, 1, 4, 2, </v>
      </c>
      <c r="R52" t="str">
        <f t="shared" si="5"/>
        <v xml:space="preserve">newArray(0, 1, 4, 2, 3, 3, 1, 4, 4, 4, 1, 4, 4, 1, 4, 2, 3, </v>
      </c>
      <c r="S52" t="str">
        <f t="shared" si="5"/>
        <v xml:space="preserve">newArray(0, 1, 4, 2, 3, 3, 1, 4, 4, 4, 1, 4, 4, 1, 4, 2, 3, 3, </v>
      </c>
      <c r="T52" t="str">
        <f t="shared" si="5"/>
        <v xml:space="preserve">newArray(0, 1, 4, 2, 3, 3, 1, 4, 4, 4, 1, 4, 4, 1, 4, 2, 3, 3, 3, </v>
      </c>
      <c r="U52" t="str">
        <f t="shared" si="5"/>
        <v xml:space="preserve">newArray(0, 1, 4, 2, 3, 3, 1, 4, 4, 4, 1, 4, 4, 1, 4, 2, 3, 3, 3, 3, </v>
      </c>
      <c r="V52" t="str">
        <f t="shared" si="5"/>
        <v xml:space="preserve">newArray(0, 1, 4, 2, 3, 3, 1, 4, 4, 4, 1, 4, 4, 1, 4, 2, 3, 3, 3, 3, 4, </v>
      </c>
      <c r="W52" t="str">
        <f t="shared" si="5"/>
        <v xml:space="preserve">newArray(0, 1, 4, 2, 3, 3, 1, 4, 4, 4, 1, 4, 4, 1, 4, 2, 3, 3, 3, 3, 4, 2, </v>
      </c>
      <c r="X52" t="str">
        <f t="shared" si="5"/>
        <v xml:space="preserve">newArray(0, 1, 4, 2, 3, 3, 1, 4, 4, 4, 1, 4, 4, 1, 4, 2, 3, 3, 3, 3, 4, 2, 3, </v>
      </c>
      <c r="Y52" t="str">
        <f t="shared" si="5"/>
        <v xml:space="preserve">newArray(0, 1, 4, 2, 3, 3, 1, 4, 4, 4, 1, 4, 4, 1, 4, 2, 3, 3, 3, 3, 4, 2, 3, 4, </v>
      </c>
      <c r="Z52" t="str">
        <f t="shared" si="5"/>
        <v xml:space="preserve">newArray(0, 1, 4, 2, 3, 3, 1, 4, 4, 4, 1, 4, 4, 1, 4, 2, 3, 3, 3, 3, 4, 2, 3, 4, 4, </v>
      </c>
      <c r="AA52" t="str">
        <f t="shared" si="5"/>
        <v xml:space="preserve">newArray(0, 1, 4, 2, 3, 3, 1, 4, 4, 4, 1, 4, 4, 1, 4, 2, 3, 3, 3, 3, 4, 2, 3, 4, 4, 4, </v>
      </c>
      <c r="AB52" t="str">
        <f t="shared" si="5"/>
        <v xml:space="preserve">newArray(0, 1, 4, 2, 3, 3, 1, 4, 4, 4, 1, 4, 4, 1, 4, 2, 3, 3, 3, 3, 4, 2, 3, 4, 4, 4, 1, </v>
      </c>
      <c r="AC52" t="str">
        <f t="shared" si="5"/>
        <v xml:space="preserve">newArray(0, 1, 4, 2, 3, 3, 1, 4, 4, 4, 1, 4, 4, 1, 4, 2, 3, 3, 3, 3, 4, 2, 3, 4, 4, 4, 1, 4, </v>
      </c>
      <c r="AD52" t="str">
        <f t="shared" si="5"/>
        <v xml:space="preserve">newArray(0, 1, 4, 2, 3, 3, 1, 4, 4, 4, 1, 4, 4, 1, 4, 2, 3, 3, 3, 3, 4, 2, 3, 4, 4, 4, 1, 4, 2, </v>
      </c>
      <c r="AE52" t="str">
        <f t="shared" si="5"/>
        <v xml:space="preserve">newArray(0, 1, 4, 2, 3, 3, 1, 4, 4, 4, 1, 4, 4, 1, 4, 2, 3, 3, 3, 3, 4, 2, 3, 4, 4, 4, 1, 4, 2, 2, </v>
      </c>
      <c r="AF52" t="str">
        <f t="shared" si="5"/>
        <v xml:space="preserve">newArray(0, 1, 4, 2, 3, 3, 1, 4, 4, 4, 1, 4, 4, 1, 4, 2, 3, 3, 3, 3, 4, 2, 3, 4, 4, 4, 1, 4, 2, 2, 3, </v>
      </c>
      <c r="AG52" t="str">
        <f t="shared" si="5"/>
        <v xml:space="preserve">newArray(0, 1, 4, 2, 3, 3, 1, 4, 4, 4, 1, 4, 4, 1, 4, 2, 3, 3, 3, 3, 4, 2, 3, 4, 4, 4, 1, 4, 2, 2, 3, 3, </v>
      </c>
      <c r="AH52" t="str">
        <f t="shared" si="5"/>
        <v xml:space="preserve">newArray(0, 1, 4, 2, 3, 3, 1, 4, 4, 4, 1, 4, 4, 1, 4, 2, 3, 3, 3, 3, 4, 2, 3, 4, 4, 4, 1, 4, 2, 2, 3, 3, 1, </v>
      </c>
      <c r="AI52" t="str">
        <f t="shared" si="5"/>
        <v xml:space="preserve">newArray(0, 1, 4, 2, 3, 3, 1, 4, 4, 4, 1, 4, 4, 1, 4, 2, 3, 3, 3, 3, 4, 2, 3, 4, 4, 4, 1, 4, 2, 2, 3, 3, 1, 4, </v>
      </c>
      <c r="AJ52" t="str">
        <f t="shared" si="5"/>
        <v xml:space="preserve">newArray(0, 1, 4, 2, 3, 3, 1, 4, 4, 4, 1, 4, 4, 1, 4, 2, 3, 3, 3, 3, 4, 2, 3, 4, 4, 4, 1, 4, 2, 2, 3, 3, 1, 4, 2, </v>
      </c>
      <c r="AK52" t="str">
        <f t="shared" si="5"/>
        <v xml:space="preserve">newArray(0, 1, 4, 2, 3, 3, 1, 4, 4, 4, 1, 4, 4, 1, 4, 2, 3, 3, 3, 3, 4, 2, 3, 4, 4, 4, 1, 4, 2, 2, 3, 3, 1, 4, 2, 3, </v>
      </c>
      <c r="AL52" t="str">
        <f t="shared" si="5"/>
        <v xml:space="preserve">newArray(0, 1, 4, 2, 3, 3, 1, 4, 4, 4, 1, 4, 4, 1, 4, 2, 3, 3, 3, 3, 4, 2, 3, 4, 4, 4, 1, 4, 2, 2, 3, 3, 1, 4, 2, 3, 3, </v>
      </c>
    </row>
    <row r="53" spans="1:38">
      <c r="A53" s="6" t="s">
        <v>68</v>
      </c>
      <c r="B53" t="str">
        <f t="shared" ref="B53:AL53" si="6">A53&amp;B42&amp;", "</f>
        <v xml:space="preserve">newArray(0, </v>
      </c>
      <c r="C53" t="str">
        <f t="shared" si="6"/>
        <v xml:space="preserve">newArray(0, 0, </v>
      </c>
      <c r="D53" t="str">
        <f t="shared" si="6"/>
        <v xml:space="preserve">newArray(0, 0, 0, </v>
      </c>
      <c r="E53" t="str">
        <f t="shared" si="6"/>
        <v xml:space="preserve">newArray(0, 0, 0, 0, </v>
      </c>
      <c r="F53" t="str">
        <f t="shared" si="6"/>
        <v xml:space="preserve">newArray(0, 0, 0, 0, 0, </v>
      </c>
      <c r="G53" t="str">
        <f t="shared" si="6"/>
        <v xml:space="preserve">newArray(0, 0, 0, 0, 0, 1, </v>
      </c>
      <c r="H53" t="str">
        <f t="shared" si="6"/>
        <v xml:space="preserve">newArray(0, 0, 0, 0, 0, 1, 3, </v>
      </c>
      <c r="I53" t="str">
        <f t="shared" si="6"/>
        <v xml:space="preserve">newArray(0, 0, 0, 0, 0, 1, 3, 1, </v>
      </c>
      <c r="J53" t="str">
        <f t="shared" si="6"/>
        <v xml:space="preserve">newArray(0, 0, 0, 0, 0, 1, 3, 1, 2, </v>
      </c>
      <c r="K53" t="str">
        <f t="shared" si="6"/>
        <v xml:space="preserve">newArray(0, 0, 0, 0, 0, 1, 3, 1, 2, 3, </v>
      </c>
      <c r="L53" t="str">
        <f t="shared" si="6"/>
        <v xml:space="preserve">newArray(0, 0, 0, 0, 0, 1, 3, 1, 2, 3, 4, </v>
      </c>
      <c r="M53" t="str">
        <f t="shared" si="6"/>
        <v xml:space="preserve">newArray(0, 0, 0, 0, 0, 1, 3, 1, 2, 3, 4, 2, </v>
      </c>
      <c r="N53" t="str">
        <f t="shared" si="6"/>
        <v xml:space="preserve">newArray(0, 0, 0, 0, 0, 1, 3, 1, 2, 3, 4, 2, 3, </v>
      </c>
      <c r="O53" t="str">
        <f t="shared" si="6"/>
        <v xml:space="preserve">newArray(0, 0, 0, 0, 0, 1, 3, 1, 2, 3, 4, 2, 3, 1, </v>
      </c>
      <c r="P53" t="str">
        <f t="shared" si="6"/>
        <v xml:space="preserve">newArray(0, 0, 0, 0, 0, 1, 3, 1, 2, 3, 4, 2, 3, 1, 4, </v>
      </c>
      <c r="Q53" t="str">
        <f t="shared" si="6"/>
        <v xml:space="preserve">newArray(0, 0, 0, 0, 0, 1, 3, 1, 2, 3, 4, 2, 3, 1, 4, 2, </v>
      </c>
      <c r="R53" t="str">
        <f t="shared" si="6"/>
        <v xml:space="preserve">newArray(0, 0, 0, 0, 0, 1, 3, 1, 2, 3, 4, 2, 3, 1, 4, 2, 2, </v>
      </c>
      <c r="S53" t="str">
        <f t="shared" si="6"/>
        <v xml:space="preserve">newArray(0, 0, 0, 0, 0, 1, 3, 1, 2, 3, 4, 2, 3, 1, 4, 2, 2, 3, </v>
      </c>
      <c r="T53" t="str">
        <f t="shared" si="6"/>
        <v xml:space="preserve">newArray(0, 0, 0, 0, 0, 1, 3, 1, 2, 3, 4, 2, 3, 1, 4, 2, 2, 3, 1, </v>
      </c>
      <c r="U53" t="str">
        <f t="shared" si="6"/>
        <v xml:space="preserve">newArray(0, 0, 0, 0, 0, 1, 3, 1, 2, 3, 4, 2, 3, 1, 4, 2, 2, 3, 1, 1, </v>
      </c>
      <c r="V53" t="str">
        <f t="shared" si="6"/>
        <v xml:space="preserve">newArray(0, 0, 0, 0, 0, 1, 3, 1, 2, 3, 4, 2, 3, 1, 4, 2, 2, 3, 1, 1, 1, </v>
      </c>
      <c r="W53" t="str">
        <f t="shared" si="6"/>
        <v xml:space="preserve">newArray(0, 0, 0, 0, 0, 1, 3, 1, 2, 3, 4, 2, 3, 1, 4, 2, 2, 3, 1, 1, 1, 4, </v>
      </c>
      <c r="X53" t="str">
        <f t="shared" si="6"/>
        <v xml:space="preserve">newArray(0, 0, 0, 0, 0, 1, 3, 1, 2, 3, 4, 2, 3, 1, 4, 2, 2, 3, 1, 1, 1, 4, 4, </v>
      </c>
      <c r="Y53" t="str">
        <f t="shared" si="6"/>
        <v xml:space="preserve">newArray(0, 0, 0, 0, 0, 1, 3, 1, 2, 3, 4, 2, 3, 1, 4, 2, 2, 3, 1, 1, 1, 4, 4, 1, </v>
      </c>
      <c r="Z53" t="str">
        <f t="shared" si="6"/>
        <v xml:space="preserve">newArray(0, 0, 0, 0, 0, 1, 3, 1, 2, 3, 4, 2, 3, 1, 4, 2, 2, 3, 1, 1, 1, 4, 4, 1, 2, </v>
      </c>
      <c r="AA53" t="str">
        <f t="shared" si="6"/>
        <v xml:space="preserve">newArray(0, 0, 0, 0, 0, 1, 3, 1, 2, 3, 4, 2, 3, 1, 4, 2, 2, 3, 1, 1, 1, 4, 4, 1, 2, 3, </v>
      </c>
      <c r="AB53" t="str">
        <f t="shared" si="6"/>
        <v xml:space="preserve">newArray(0, 0, 0, 0, 0, 1, 3, 1, 2, 3, 4, 2, 3, 1, 4, 2, 2, 3, 1, 1, 1, 4, 4, 1, 2, 3, 1, </v>
      </c>
      <c r="AC53" t="str">
        <f t="shared" si="6"/>
        <v xml:space="preserve">newArray(0, 0, 0, 0, 0, 1, 3, 1, 2, 3, 4, 2, 3, 1, 4, 2, 2, 3, 1, 1, 1, 4, 4, 1, 2, 3, 1, 4, </v>
      </c>
      <c r="AD53" t="str">
        <f t="shared" si="6"/>
        <v xml:space="preserve">newArray(0, 0, 0, 0, 0, 1, 3, 1, 2, 3, 4, 2, 3, 1, 4, 2, 2, 3, 1, 1, 1, 4, 4, 1, 2, 3, 1, 4, 2, </v>
      </c>
      <c r="AE53" t="str">
        <f t="shared" si="6"/>
        <v xml:space="preserve">newArray(0, 0, 0, 0, 0, 1, 3, 1, 2, 3, 4, 2, 3, 1, 4, 2, 2, 3, 1, 1, 1, 4, 4, 1, 2, 3, 1, 4, 2, 3, </v>
      </c>
      <c r="AF53" t="str">
        <f t="shared" si="6"/>
        <v xml:space="preserve">newArray(0, 0, 0, 0, 0, 1, 3, 1, 2, 3, 4, 2, 3, 1, 4, 2, 2, 3, 1, 1, 1, 4, 4, 1, 2, 3, 1, 4, 2, 3, 2, </v>
      </c>
      <c r="AG53" t="str">
        <f t="shared" si="6"/>
        <v xml:space="preserve">newArray(0, 0, 0, 0, 0, 1, 3, 1, 2, 3, 4, 2, 3, 1, 4, 2, 2, 3, 1, 1, 1, 4, 4, 1, 2, 3, 1, 4, 2, 3, 2, 3, </v>
      </c>
      <c r="AH53" t="str">
        <f t="shared" si="6"/>
        <v xml:space="preserve">newArray(0, 0, 0, 0, 0, 1, 3, 1, 2, 3, 4, 2, 3, 1, 4, 2, 2, 3, 1, 1, 1, 4, 4, 1, 2, 3, 1, 4, 2, 3, 2, 3, 1, </v>
      </c>
      <c r="AI53" t="str">
        <f t="shared" si="6"/>
        <v xml:space="preserve">newArray(0, 0, 0, 0, 0, 1, 3, 1, 2, 3, 4, 2, 3, 1, 4, 2, 2, 3, 1, 1, 1, 4, 4, 1, 2, 3, 1, 4, 2, 3, 2, 3, 1, 4, </v>
      </c>
      <c r="AJ53" t="str">
        <f t="shared" si="6"/>
        <v xml:space="preserve">newArray(0, 0, 0, 0, 0, 1, 3, 1, 2, 3, 4, 2, 3, 1, 4, 2, 2, 3, 1, 1, 1, 4, 4, 1, 2, 3, 1, 4, 2, 3, 2, 3, 1, 4, 2, </v>
      </c>
      <c r="AK53" t="str">
        <f t="shared" si="6"/>
        <v xml:space="preserve">newArray(0, 0, 0, 0, 0, 1, 3, 1, 2, 3, 4, 2, 3, 1, 4, 2, 2, 3, 1, 1, 1, 4, 4, 1, 2, 3, 1, 4, 2, 3, 2, 3, 1, 4, 2, 2, </v>
      </c>
      <c r="AL53" t="str">
        <f t="shared" si="6"/>
        <v xml:space="preserve">newArray(0, 0, 0, 0, 0, 1, 3, 1, 2, 3, 4, 2, 3, 1, 4, 2, 2, 3, 1, 1, 1, 4, 4, 1, 2, 3, 1, 4, 2, 3, 2, 3, 1, 4, 2, 2, 3, </v>
      </c>
    </row>
    <row r="54" spans="1:38">
      <c r="A54" s="6" t="s">
        <v>68</v>
      </c>
      <c r="B54" t="str">
        <f t="shared" ref="B54:AL54" si="7">A54&amp;B43&amp;", "</f>
        <v xml:space="preserve">newArray(1, </v>
      </c>
      <c r="C54" t="str">
        <f t="shared" si="7"/>
        <v xml:space="preserve">newArray(1, 1, </v>
      </c>
      <c r="D54" t="str">
        <f t="shared" si="7"/>
        <v xml:space="preserve">newArray(1, 1, 1, </v>
      </c>
      <c r="E54" t="str">
        <f t="shared" si="7"/>
        <v xml:space="preserve">newArray(1, 1, 1, 1, </v>
      </c>
      <c r="F54" t="str">
        <f t="shared" si="7"/>
        <v xml:space="preserve">newArray(1, 1, 1, 1, 1, </v>
      </c>
      <c r="G54" t="str">
        <f t="shared" si="7"/>
        <v xml:space="preserve">newArray(1, 1, 1, 1, 1, 1, </v>
      </c>
      <c r="H54" t="str">
        <f t="shared" si="7"/>
        <v xml:space="preserve">newArray(1, 1, 1, 1, 1, 1, 2, </v>
      </c>
      <c r="I54" t="str">
        <f t="shared" si="7"/>
        <v xml:space="preserve">newArray(1, 1, 1, 1, 1, 1, 2, 1, </v>
      </c>
      <c r="J54" t="str">
        <f t="shared" si="7"/>
        <v xml:space="preserve">newArray(1, 1, 1, 1, 1, 1, 2, 1, 1, </v>
      </c>
      <c r="K54" t="str">
        <f t="shared" si="7"/>
        <v xml:space="preserve">newArray(1, 1, 1, 1, 1, 1, 2, 1, 1, 1, </v>
      </c>
      <c r="L54" t="str">
        <f t="shared" si="7"/>
        <v xml:space="preserve">newArray(1, 1, 1, 1, 1, 1, 2, 1, 1, 1, 2, </v>
      </c>
      <c r="M54" t="str">
        <f t="shared" si="7"/>
        <v xml:space="preserve">newArray(1, 1, 1, 1, 1, 1, 2, 1, 1, 1, 2, 2, </v>
      </c>
      <c r="N54" t="str">
        <f t="shared" si="7"/>
        <v xml:space="preserve">newArray(1, 1, 1, 1, 1, 1, 2, 1, 1, 1, 2, 2, 2, </v>
      </c>
      <c r="O54" t="str">
        <f t="shared" si="7"/>
        <v xml:space="preserve">newArray(1, 1, 1, 1, 1, 1, 2, 1, 1, 1, 2, 2, 2, 1, </v>
      </c>
      <c r="P54" t="str">
        <f t="shared" si="7"/>
        <v xml:space="preserve">newArray(1, 1, 1, 1, 1, 1, 2, 1, 1, 1, 2, 2, 2, 1, 1, </v>
      </c>
      <c r="Q54" t="str">
        <f t="shared" si="7"/>
        <v xml:space="preserve">newArray(1, 1, 1, 1, 1, 1, 2, 1, 1, 1, 2, 2, 2, 1, 1, 1, </v>
      </c>
      <c r="R54" t="str">
        <f t="shared" si="7"/>
        <v xml:space="preserve">newArray(1, 1, 1, 1, 1, 1, 2, 1, 1, 1, 2, 2, 2, 1, 1, 1, 1, </v>
      </c>
      <c r="S54" t="str">
        <f t="shared" si="7"/>
        <v xml:space="preserve">newArray(1, 1, 1, 1, 1, 1, 2, 1, 1, 1, 2, 2, 2, 1, 1, 1, 1, 1, </v>
      </c>
      <c r="T54" t="str">
        <f t="shared" si="7"/>
        <v xml:space="preserve">newArray(1, 1, 1, 1, 1, 1, 2, 1, 1, 1, 2, 2, 2, 1, 1, 1, 1, 1, 2, </v>
      </c>
      <c r="U54" t="str">
        <f t="shared" si="7"/>
        <v xml:space="preserve">newArray(1, 1, 1, 1, 1, 1, 2, 1, 1, 1, 2, 2, 2, 1, 1, 1, 1, 1, 2, 2, </v>
      </c>
      <c r="V54" t="str">
        <f t="shared" si="7"/>
        <v xml:space="preserve">newArray(1, 1, 1, 1, 1, 1, 2, 1, 1, 1, 2, 2, 2, 1, 1, 1, 1, 1, 2, 2, 2, </v>
      </c>
      <c r="W54" t="str">
        <f t="shared" si="7"/>
        <v xml:space="preserve">newArray(1, 1, 1, 1, 1, 1, 2, 1, 1, 1, 2, 2, 2, 1, 1, 1, 1, 1, 2, 2, 2, 2, </v>
      </c>
      <c r="X54" t="str">
        <f t="shared" si="7"/>
        <v xml:space="preserve">newArray(1, 1, 1, 1, 1, 1, 2, 1, 1, 1, 2, 2, 2, 1, 1, 1, 1, 1, 2, 2, 2, 2, 2, </v>
      </c>
      <c r="Y54" t="str">
        <f t="shared" si="7"/>
        <v xml:space="preserve">newArray(1, 1, 1, 1, 1, 1, 2, 1, 1, 1, 2, 2, 2, 1, 1, 1, 1, 1, 2, 2, 2, 2, 2, 2, </v>
      </c>
      <c r="Z54" t="str">
        <f t="shared" si="7"/>
        <v xml:space="preserve">newArray(1, 1, 1, 1, 1, 1, 2, 1, 1, 1, 2, 2, 2, 1, 1, 1, 1, 1, 2, 2, 2, 2, 2, 2, 2, </v>
      </c>
      <c r="AA54" t="str">
        <f t="shared" si="7"/>
        <v xml:space="preserve">newArray(1, 1, 1, 1, 1, 1, 2, 1, 1, 1, 2, 2, 2, 1, 1, 1, 1, 1, 2, 2, 2, 2, 2, 2, 2, 2, </v>
      </c>
      <c r="AB54" t="str">
        <f t="shared" si="7"/>
        <v xml:space="preserve">newArray(1, 1, 1, 1, 1, 1, 2, 1, 1, 1, 2, 2, 2, 1, 1, 1, 1, 1, 2, 2, 2, 2, 2, 2, 2, 2, 2, </v>
      </c>
      <c r="AC54" t="str">
        <f t="shared" si="7"/>
        <v xml:space="preserve">newArray(1, 1, 1, 1, 1, 1, 2, 1, 1, 1, 2, 2, 2, 1, 1, 1, 1, 1, 2, 2, 2, 2, 2, 2, 2, 2, 2, 2, </v>
      </c>
      <c r="AD54" t="str">
        <f t="shared" si="7"/>
        <v xml:space="preserve">newArray(1, 1, 1, 1, 1, 1, 2, 1, 1, 1, 2, 2, 2, 1, 1, 1, 1, 1, 2, 2, 2, 2, 2, 2, 2, 2, 2, 2, 2, </v>
      </c>
      <c r="AE54" t="str">
        <f t="shared" si="7"/>
        <v xml:space="preserve">newArray(1, 1, 1, 1, 1, 1, 2, 1, 1, 1, 2, 2, 2, 1, 1, 1, 1, 1, 2, 2, 2, 2, 2, 2, 2, 2, 2, 2, 2, 2, </v>
      </c>
      <c r="AF54" t="str">
        <f t="shared" si="7"/>
        <v xml:space="preserve">newArray(1, 1, 1, 1, 1, 1, 2, 1, 1, 1, 2, 2, 2, 1, 1, 1, 1, 1, 2, 2, 2, 2, 2, 2, 2, 2, 2, 2, 2, 2, 2, </v>
      </c>
      <c r="AG54" t="str">
        <f t="shared" si="7"/>
        <v xml:space="preserve">newArray(1, 1, 1, 1, 1, 1, 2, 1, 1, 1, 2, 2, 2, 1, 1, 1, 1, 1, 2, 2, 2, 2, 2, 2, 2, 2, 2, 2, 2, 2, 2, 2, </v>
      </c>
      <c r="AH54" t="str">
        <f t="shared" si="7"/>
        <v xml:space="preserve">newArray(1, 1, 1, 1, 1, 1, 2, 1, 1, 1, 2, 2, 2, 1, 1, 1, 1, 1, 2, 2, 2, 2, 2, 2, 2, 2, 2, 2, 2, 2, 2, 2, 2, </v>
      </c>
      <c r="AI54" t="str">
        <f t="shared" si="7"/>
        <v xml:space="preserve">newArray(1, 1, 1, 1, 1, 1, 2, 1, 1, 1, 2, 2, 2, 1, 1, 1, 1, 1, 2, 2, 2, 2, 2, 2, 2, 2, 2, 2, 2, 2, 2, 2, 2, 2, </v>
      </c>
      <c r="AJ54" t="str">
        <f t="shared" si="7"/>
        <v xml:space="preserve">newArray(1, 1, 1, 1, 1, 1, 2, 1, 1, 1, 2, 2, 2, 1, 1, 1, 1, 1, 2, 2, 2, 2, 2, 2, 2, 2, 2, 2, 2, 2, 2, 2, 2, 2, 2, </v>
      </c>
      <c r="AK54" t="str">
        <f t="shared" si="7"/>
        <v xml:space="preserve">newArray(1, 1, 1, 1, 1, 1, 2, 1, 1, 1, 2, 2, 2, 1, 1, 1, 1, 1, 2, 2, 2, 2, 2, 2, 2, 2, 2, 2, 2, 2, 2, 2, 2, 2, 2, 2, </v>
      </c>
      <c r="AL54" t="str">
        <f t="shared" si="7"/>
        <v xml:space="preserve">newArray(1, 1, 1, 1, 1, 1, 2, 1, 1, 1, 2, 2, 2, 1, 1, 1, 1, 1, 2, 2, 2, 2, 2, 2, 2, 2, 2, 2, 2, 2, 2, 2, 2, 2, 2, 2, 2, </v>
      </c>
    </row>
    <row r="55" spans="1:38">
      <c r="A55" s="6" t="s">
        <v>68</v>
      </c>
      <c r="B55" t="str">
        <f t="shared" ref="B55:AL55" si="8">A55&amp;B44&amp;", "</f>
        <v xml:space="preserve">newArray(1, </v>
      </c>
      <c r="C55" t="str">
        <f t="shared" si="8"/>
        <v xml:space="preserve">newArray(1, 1, </v>
      </c>
      <c r="D55" t="str">
        <f t="shared" si="8"/>
        <v xml:space="preserve">newArray(1, 1, 1, </v>
      </c>
      <c r="E55" t="str">
        <f t="shared" si="8"/>
        <v xml:space="preserve">newArray(1, 1, 1, 1, </v>
      </c>
      <c r="F55" t="str">
        <f t="shared" si="8"/>
        <v xml:space="preserve">newArray(1, 1, 1, 1, 1, </v>
      </c>
      <c r="G55" t="str">
        <f t="shared" si="8"/>
        <v xml:space="preserve">newArray(1, 1, 1, 1, 1, 1, </v>
      </c>
      <c r="H55" t="str">
        <f t="shared" si="8"/>
        <v xml:space="preserve">newArray(1, 1, 1, 1, 1, 1, 1, </v>
      </c>
      <c r="I55" t="str">
        <f t="shared" si="8"/>
        <v xml:space="preserve">newArray(1, 1, 1, 1, 1, 1, 1, 1, </v>
      </c>
      <c r="J55" t="str">
        <f t="shared" si="8"/>
        <v xml:space="preserve">newArray(1, 1, 1, 1, 1, 1, 1, 1, 1, </v>
      </c>
      <c r="K55" t="str">
        <f t="shared" si="8"/>
        <v xml:space="preserve">newArray(1, 1, 1, 1, 1, 1, 1, 1, 1, 1, </v>
      </c>
      <c r="L55" t="str">
        <f t="shared" si="8"/>
        <v xml:space="preserve">newArray(1, 1, 1, 1, 1, 1, 1, 1, 1, 1, 1, </v>
      </c>
      <c r="M55" t="str">
        <f t="shared" si="8"/>
        <v xml:space="preserve">newArray(1, 1, 1, 1, 1, 1, 1, 1, 1, 1, 1, 1, </v>
      </c>
      <c r="N55" t="str">
        <f t="shared" si="8"/>
        <v xml:space="preserve">newArray(1, 1, 1, 1, 1, 1, 1, 1, 1, 1, 1, 1, 1, </v>
      </c>
      <c r="O55" t="str">
        <f t="shared" si="8"/>
        <v xml:space="preserve">newArray(1, 1, 1, 1, 1, 1, 1, 1, 1, 1, 1, 1, 1, 1, </v>
      </c>
      <c r="P55" t="str">
        <f t="shared" si="8"/>
        <v xml:space="preserve">newArray(1, 1, 1, 1, 1, 1, 1, 1, 1, 1, 1, 1, 1, 1, 1, </v>
      </c>
      <c r="Q55" t="str">
        <f t="shared" si="8"/>
        <v xml:space="preserve">newArray(1, 1, 1, 1, 1, 1, 1, 1, 1, 1, 1, 1, 1, 1, 1, 1, </v>
      </c>
      <c r="R55" t="str">
        <f t="shared" si="8"/>
        <v xml:space="preserve">newArray(1, 1, 1, 1, 1, 1, 1, 1, 1, 1, 1, 1, 1, 1, 1, 1, 1, </v>
      </c>
      <c r="S55" t="str">
        <f t="shared" si="8"/>
        <v xml:space="preserve">newArray(1, 1, 1, 1, 1, 1, 1, 1, 1, 1, 1, 1, 1, 1, 1, 1, 1, 1, </v>
      </c>
      <c r="T55" t="str">
        <f t="shared" si="8"/>
        <v xml:space="preserve">newArray(1, 1, 1, 1, 1, 1, 1, 1, 1, 1, 1, 1, 1, 1, 1, 1, 1, 1, 1, </v>
      </c>
      <c r="U55" t="str">
        <f t="shared" si="8"/>
        <v xml:space="preserve">newArray(1, 1, 1, 1, 1, 1, 1, 1, 1, 1, 1, 1, 1, 1, 1, 1, 1, 1, 1, 2, </v>
      </c>
      <c r="V55" t="str">
        <f t="shared" si="8"/>
        <v xml:space="preserve">newArray(1, 1, 1, 1, 1, 1, 1, 1, 1, 1, 1, 1, 1, 1, 1, 1, 1, 1, 1, 2, 1, </v>
      </c>
      <c r="W55" t="str">
        <f t="shared" si="8"/>
        <v xml:space="preserve">newArray(1, 1, 1, 1, 1, 1, 1, 1, 1, 1, 1, 1, 1, 1, 1, 1, 1, 1, 1, 2, 1, 1, </v>
      </c>
      <c r="X55" t="str">
        <f t="shared" si="8"/>
        <v xml:space="preserve">newArray(1, 1, 1, 1, 1, 1, 1, 1, 1, 1, 1, 1, 1, 1, 1, 1, 1, 1, 1, 2, 1, 1, 1, </v>
      </c>
      <c r="Y55" t="str">
        <f t="shared" si="8"/>
        <v xml:space="preserve">newArray(1, 1, 1, 1, 1, 1, 1, 1, 1, 1, 1, 1, 1, 1, 1, 1, 1, 1, 1, 2, 1, 1, 1, 2, </v>
      </c>
      <c r="Z55" t="str">
        <f t="shared" si="8"/>
        <v xml:space="preserve">newArray(1, 1, 1, 1, 1, 1, 1, 1, 1, 1, 1, 1, 1, 1, 1, 1, 1, 1, 1, 2, 1, 1, 1, 2, 2, </v>
      </c>
      <c r="AA55" t="str">
        <f t="shared" si="8"/>
        <v xml:space="preserve">newArray(1, 1, 1, 1, 1, 1, 1, 1, 1, 1, 1, 1, 1, 1, 1, 1, 1, 1, 1, 2, 1, 1, 1, 2, 2, 2, </v>
      </c>
      <c r="AB55" t="str">
        <f t="shared" si="8"/>
        <v xml:space="preserve">newArray(1, 1, 1, 1, 1, 1, 1, 1, 1, 1, 1, 1, 1, 1, 1, 1, 1, 1, 1, 2, 1, 1, 1, 2, 2, 2, 1, </v>
      </c>
      <c r="AC55" t="str">
        <f t="shared" si="8"/>
        <v xml:space="preserve">newArray(1, 1, 1, 1, 1, 1, 1, 1, 1, 1, 1, 1, 1, 1, 1, 1, 1, 1, 1, 2, 1, 1, 1, 2, 2, 2, 1, 1, </v>
      </c>
      <c r="AD55" t="str">
        <f t="shared" si="8"/>
        <v xml:space="preserve">newArray(1, 1, 1, 1, 1, 1, 1, 1, 1, 1, 1, 1, 1, 1, 1, 1, 1, 1, 1, 2, 1, 1, 1, 2, 2, 2, 1, 1, 1, </v>
      </c>
      <c r="AE55" t="str">
        <f t="shared" si="8"/>
        <v xml:space="preserve">newArray(1, 1, 1, 1, 1, 1, 1, 1, 1, 1, 1, 1, 1, 1, 1, 1, 1, 1, 1, 2, 1, 1, 1, 2, 2, 2, 1, 1, 1, 1, </v>
      </c>
      <c r="AF55" t="str">
        <f t="shared" si="8"/>
        <v xml:space="preserve">newArray(1, 1, 1, 1, 1, 1, 1, 1, 1, 1, 1, 1, 1, 1, 1, 1, 1, 1, 1, 2, 1, 1, 1, 2, 2, 2, 1, 1, 1, 1, 1, </v>
      </c>
      <c r="AG55" t="str">
        <f t="shared" si="8"/>
        <v xml:space="preserve">newArray(1, 1, 1, 1, 1, 1, 1, 1, 1, 1, 1, 1, 1, 1, 1, 1, 1, 1, 1, 2, 1, 1, 1, 2, 2, 2, 1, 1, 1, 1, 1, 1, </v>
      </c>
      <c r="AH55" t="str">
        <f t="shared" si="8"/>
        <v xml:space="preserve">newArray(1, 1, 1, 1, 1, 1, 1, 1, 1, 1, 1, 1, 1, 1, 1, 1, 1, 1, 1, 2, 1, 1, 1, 2, 2, 2, 1, 1, 1, 1, 1, 1, 2, </v>
      </c>
      <c r="AI55" t="str">
        <f t="shared" si="8"/>
        <v xml:space="preserve">newArray(1, 1, 1, 1, 1, 1, 1, 1, 1, 1, 1, 1, 1, 1, 1, 1, 1, 1, 1, 2, 1, 1, 1, 2, 2, 2, 1, 1, 1, 1, 1, 1, 2, 2, </v>
      </c>
      <c r="AJ55" t="str">
        <f t="shared" si="8"/>
        <v xml:space="preserve">newArray(1, 1, 1, 1, 1, 1, 1, 1, 1, 1, 1, 1, 1, 1, 1, 1, 1, 1, 1, 2, 1, 1, 1, 2, 2, 2, 1, 1, 1, 1, 1, 1, 2, 2, 2, </v>
      </c>
      <c r="AK55" t="str">
        <f t="shared" si="8"/>
        <v xml:space="preserve">newArray(1, 1, 1, 1, 1, 1, 1, 1, 1, 1, 1, 1, 1, 1, 1, 1, 1, 1, 1, 2, 1, 1, 1, 2, 2, 2, 1, 1, 1, 1, 1, 1, 2, 2, 2, 2, </v>
      </c>
      <c r="AL55" t="str">
        <f t="shared" si="8"/>
        <v xml:space="preserve">newArray(1, 1, 1, 1, 1, 1, 1, 1, 1, 1, 1, 1, 1, 1, 1, 1, 1, 1, 1, 2, 1, 1, 1, 2, 2, 2, 1, 1, 1, 1, 1, 1, 2, 2, 2, 2, 2, </v>
      </c>
    </row>
    <row r="56" spans="1:38">
      <c r="A56" s="6" t="s">
        <v>68</v>
      </c>
      <c r="B56" t="str">
        <f t="shared" ref="B56:AL56" si="9">A56&amp;B45&amp;", "</f>
        <v xml:space="preserve">newArray(0, </v>
      </c>
      <c r="C56" t="str">
        <f t="shared" si="9"/>
        <v xml:space="preserve">newArray(0, 3F, </v>
      </c>
      <c r="D56" t="str">
        <f t="shared" si="9"/>
        <v xml:space="preserve">newArray(0, 3F, 3FC0, </v>
      </c>
      <c r="E56" t="str">
        <f t="shared" si="9"/>
        <v xml:space="preserve">newArray(0, 3F, 3FC0, 3FC000, </v>
      </c>
      <c r="F56" t="str">
        <f t="shared" si="9"/>
        <v xml:space="preserve">newArray(0, 3F, 3FC0, 3FC000, 3FC03F, </v>
      </c>
      <c r="G56" t="str">
        <f t="shared" si="9"/>
        <v xml:space="preserve">newArray(0, 3F, 3FC0, 3FC000, 3FC03F, 3FC07F, </v>
      </c>
      <c r="H56" t="str">
        <f t="shared" si="9"/>
        <v xml:space="preserve">newArray(0, 3F, 3FC0, 3FC000, 3FC03F, 3FC07F, 3FC0BF, </v>
      </c>
      <c r="I56" t="str">
        <f t="shared" si="9"/>
        <v xml:space="preserve">newArray(0, 3F, 3FC0, 3FC000, 3FC03F, 3FC07F, 3FC0BF, 3FFF, </v>
      </c>
      <c r="J56" t="str">
        <f t="shared" si="9"/>
        <v xml:space="preserve">newArray(0, 3F, 3FC0, 3FC000, 3FC03F, 3FC07F, 3FC0BF, 3FFF, 3FFFC0, </v>
      </c>
      <c r="K56" t="str">
        <f t="shared" si="9"/>
        <v xml:space="preserve">newArray(0, 3F, 3FC0, 3FC000, 3FC03F, 3FC07F, 3FC0BF, 3FFF, 3FFFC0, 3FFFFF, </v>
      </c>
      <c r="L56" t="str">
        <f t="shared" si="9"/>
        <v xml:space="preserve">newArray(0, 3F, 3FC0, 3FC000, 3FC03F, 3FC07F, 3FC0BF, 3FFF, 3FFFC0, 3FFFFF, 403F, </v>
      </c>
      <c r="M56" t="str">
        <f t="shared" si="9"/>
        <v xml:space="preserve">newArray(0, 3F, 3FC0, 3FC000, 3FC03F, 3FC07F, 3FC0BF, 3FFF, 3FFFC0, 3FFFFF, 403F, 403F80, </v>
      </c>
      <c r="N56" t="str">
        <f t="shared" si="9"/>
        <v xml:space="preserve">newArray(0, 3F, 3FC0, 3FC000, 3FC03F, 3FC07F, 3FC0BF, 3FFF, 3FFFC0, 3FFFFF, 403F, 403F80, 403FBF, </v>
      </c>
      <c r="O56" t="str">
        <f t="shared" si="9"/>
        <v xml:space="preserve">newArray(0, 3F, 3FC0, 3FC000, 3FC03F, 3FC07F, 3FC0BF, 3FFF, 3FFFC0, 3FFFFF, 403F, 403F80, 403FBF, 7F, </v>
      </c>
      <c r="P56" t="str">
        <f t="shared" si="9"/>
        <v xml:space="preserve">newArray(0, 3F, 3FC0, 3FC000, 3FC03F, 3FC07F, 3FC0BF, 3FFF, 3FFFC0, 3FFFFF, 403F, 403F80, 403FBF, 7F, 7F80, </v>
      </c>
      <c r="Q56" t="str">
        <f t="shared" si="9"/>
        <v xml:space="preserve">newArray(0, 3F, 3FC0, 3FC000, 3FC03F, 3FC07F, 3FC0BF, 3FFF, 3FFFC0, 3FFFFF, 403F, 403F80, 403FBF, 7F, 7F80, 7F8000, </v>
      </c>
      <c r="R56" t="str">
        <f t="shared" si="9"/>
        <v xml:space="preserve">newArray(0, 3F, 3FC0, 3FC000, 3FC03F, 3FC07F, 3FC0BF, 3FFF, 3FFFC0, 3FFFFF, 403F, 403F80, 403FBF, 7F, 7F80, 7F8000, 7F803F, </v>
      </c>
      <c r="S56" t="str">
        <f t="shared" si="9"/>
        <v xml:space="preserve">newArray(0, 3F, 3FC0, 3FC000, 3FC03F, 3FC07F, 3FC0BF, 3FFF, 3FFFC0, 3FFFFF, 403F, 403F80, 403FBF, 7F, 7F80, 7F8000, 7F803F, 7F807F, </v>
      </c>
      <c r="T56" t="str">
        <f t="shared" si="9"/>
        <v xml:space="preserve">newArray(0, 3F, 3FC0, 3FC000, 3FC03F, 3FC07F, 3FC0BF, 3FFF, 3FFFC0, 3FFFFF, 403F, 403F80, 403FBF, 7F, 7F80, 7F8000, 7F803F, 7F807F, 7F80BF, </v>
      </c>
      <c r="U56" t="str">
        <f t="shared" si="9"/>
        <v xml:space="preserve">newArray(0, 3F, 3FC0, 3FC000, 3FC03F, 3FC07F, 3FC0BF, 3FFF, 3FFFC0, 3FFFFF, 403F, 403F80, 403FBF, 7F, 7F80, 7F8000, 7F803F, 7F807F, 7F80BF, 7F80FF, </v>
      </c>
      <c r="V56" t="str">
        <f t="shared" si="9"/>
        <v xml:space="preserve">newArray(0, 3F, 3FC0, 3FC000, 3FC03F, 3FC07F, 3FC0BF, 3FFF, 3FFFC0, 3FFFFF, 403F, 403F80, 403FBF, 7F, 7F80, 7F8000, 7F803F, 7F807F, 7F80BF, 7F80FF, 7FBF, </v>
      </c>
      <c r="W56" t="str">
        <f t="shared" si="9"/>
        <v xml:space="preserve">newArray(0, 3F, 3FC0, 3FC000, 3FC03F, 3FC07F, 3FC0BF, 3FFF, 3FFFC0, 3FFFFF, 403F, 403F80, 403FBF, 7F, 7F80, 7F8000, 7F803F, 7F807F, 7F80BF, 7F80FF, 7FBF, 7FBFC0, </v>
      </c>
      <c r="X56" t="str">
        <f t="shared" si="9"/>
        <v xml:space="preserve">newArray(0, 3F, 3FC0, 3FC000, 3FC03F, 3FC07F, 3FC0BF, 3FFF, 3FFFC0, 3FFFFF, 403F, 403F80, 403FBF, 7F, 7F80, 7F8000, 7F803F, 7F807F, 7F80BF, 7F80FF, 7FBF, 7FBFC0, 7FC03F, </v>
      </c>
      <c r="Y56" t="str">
        <f t="shared" si="9"/>
        <v xml:space="preserve">newArray(0, 3F, 3FC0, 3FC000, 3FC03F, 3FC07F, 3FC0BF, 3FFF, 3FFFC0, 3FFFFF, 403F, 403F80, 403FBF, 7F, 7F80, 7F8000, 7F803F, 7F807F, 7F80BF, 7F80FF, 7FBF, 7FBFC0, 7FC03F, 7FFF, </v>
      </c>
      <c r="Z56" t="str">
        <f t="shared" si="9"/>
        <v xml:space="preserve">newArray(0, 3F, 3FC0, 3FC000, 3FC03F, 3FC07F, 3FC0BF, 3FFF, 3FFFC0, 3FFFFF, 403F, 403F80, 403FBF, 7F, 7F80, 7F8000, 7F803F, 7F807F, 7F80BF, 7F80FF, 7FBF, 7FBFC0, 7FC03F, 7FFF, 7FFF80, </v>
      </c>
      <c r="AA56" t="str">
        <f t="shared" si="9"/>
        <v xml:space="preserve">newArray(0, 3F, 3FC0, 3FC000, 3FC03F, 3FC07F, 3FC0BF, 3FFF, 3FFFC0, 3FFFFF, 403F, 403F80, 403FBF, 7F, 7F80, 7F8000, 7F803F, 7F807F, 7F80BF, 7F80FF, 7FBF, 7FBFC0, 7FC03F, 7FFF, 7FFF80, 7FFFFF, </v>
      </c>
      <c r="AB56" t="str">
        <f t="shared" si="9"/>
        <v xml:space="preserve">newArray(0, 3F, 3FC0, 3FC000, 3FC03F, 3FC07F, 3FC0BF, 3FFF, 3FFFC0, 3FFFFF, 403F, 403F80, 403FBF, 7F, 7F80, 7F8000, 7F803F, 7F807F, 7F80BF, 7F80FF, 7FBF, 7FBFC0, 7FC03F, 7FFF, 7FFF80, 7FFFFF, BF, </v>
      </c>
      <c r="AC56" t="str">
        <f t="shared" si="9"/>
        <v xml:space="preserve">newArray(0, 3F, 3FC0, 3FC000, 3FC03F, 3FC07F, 3FC0BF, 3FFF, 3FFFC0, 3FFFFF, 403F, 403F80, 403FBF, 7F, 7F80, 7F8000, 7F803F, 7F807F, 7F80BF, 7F80FF, 7FBF, 7FBFC0, 7FC03F, 7FFF, 7FFF80, 7FFFFF, BF, BF40, </v>
      </c>
      <c r="AD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</v>
      </c>
      <c r="AE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</v>
      </c>
      <c r="AF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</v>
      </c>
      <c r="AG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BF40BF, </v>
      </c>
      <c r="AH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BF40BF, FF, </v>
      </c>
      <c r="AI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BF40BF, FF, FF00, </v>
      </c>
      <c r="AJ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BF40BF, FF, FF00, FF0000, </v>
      </c>
      <c r="AK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BF40BF, FF, FF00, FF0000, FF007F, </v>
      </c>
      <c r="AL56" t="str">
        <f t="shared" si="9"/>
        <v xml:space="preserve">newArray(0, 3F, 3FC0, 3FC000, 3FC03F, 3FC07F, 3FC0BF, 3FFF, 3FFFC0, 3FFFFF, 403F, 403F80, 403FBF, 7F, 7F80, 7F8000, 7F803F, 7F807F, 7F80BF, 7F80FF, 7FBF, 7FBFC0, 7FC03F, 7FFF, 7FFF80, 7FFFFF, BF, BF40, BF4000, BF403F, BF407F, BF40BF, FF, FF00, FF0000, FF007F, FF00FF, </v>
      </c>
    </row>
    <row r="57" spans="1:3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  <row r="58" spans="1:38">
      <c r="A58" s="6" t="s">
        <v>68</v>
      </c>
      <c r="B58" t="str">
        <f>A58&amp;B48&amp;", "</f>
        <v xml:space="preserve">newArray(0x00, </v>
      </c>
      <c r="C58" t="str">
        <f t="shared" ref="C58:AL60" si="10">B58&amp;C48&amp;", "</f>
        <v xml:space="preserve">newArray(0x00, 0x00, </v>
      </c>
      <c r="D58" t="str">
        <f t="shared" si="10"/>
        <v xml:space="preserve">newArray(0x00, 0x00, 0x00, </v>
      </c>
      <c r="E58" t="str">
        <f t="shared" si="10"/>
        <v xml:space="preserve">newArray(0x00, 0x00, 0x00, 0x3F, </v>
      </c>
      <c r="F58" t="str">
        <f t="shared" si="10"/>
        <v xml:space="preserve">newArray(0x00, 0x00, 0x00, 0x3F, 0x3F, </v>
      </c>
      <c r="G58" t="str">
        <f t="shared" si="10"/>
        <v xml:space="preserve">newArray(0x00, 0x00, 0x00, 0x3F, 0x3F, 0x3F, </v>
      </c>
      <c r="H58" t="str">
        <f t="shared" si="10"/>
        <v xml:space="preserve">newArray(0x00, 0x00, 0x00, 0x3F, 0x3F, 0x3F, 0x3F, </v>
      </c>
      <c r="I58" t="str">
        <f t="shared" si="10"/>
        <v xml:space="preserve">newArray(0x00, 0x00, 0x00, 0x3F, 0x3F, 0x3F, 0x3F, 0x00, </v>
      </c>
      <c r="J58" t="str">
        <f t="shared" si="10"/>
        <v xml:space="preserve">newArray(0x00, 0x00, 0x00, 0x3F, 0x3F, 0x3F, 0x3F, 0x00, 0x3F, </v>
      </c>
      <c r="K58" t="str">
        <f t="shared" si="10"/>
        <v xml:space="preserve">newArray(0x00, 0x00, 0x00, 0x3F, 0x3F, 0x3F, 0x3F, 0x00, 0x3F, 0x3F, </v>
      </c>
      <c r="L58" t="str">
        <f t="shared" si="10"/>
        <v xml:space="preserve">newArray(0x00, 0x00, 0x00, 0x3F, 0x3F, 0x3F, 0x3F, 0x00, 0x3F, 0x3F, 0x00, </v>
      </c>
      <c r="M58" t="str">
        <f t="shared" si="10"/>
        <v xml:space="preserve">newArray(0x00, 0x00, 0x00, 0x3F, 0x3F, 0x3F, 0x3F, 0x00, 0x3F, 0x3F, 0x00, 0x40, </v>
      </c>
      <c r="N58" t="str">
        <f t="shared" si="10"/>
        <v xml:space="preserve">newArray(0x00, 0x00, 0x00, 0x3F, 0x3F, 0x3F, 0x3F, 0x00, 0x3F, 0x3F, 0x00, 0x40, 0x40, </v>
      </c>
      <c r="O58" t="str">
        <f t="shared" si="10"/>
        <v xml:space="preserve">newArray(0x00, 0x00, 0x00, 0x3F, 0x3F, 0x3F, 0x3F, 0x00, 0x3F, 0x3F, 0x00, 0x40, 0x40, 0x00, </v>
      </c>
      <c r="P58" t="str">
        <f t="shared" si="10"/>
        <v xml:space="preserve">newArray(0x00, 0x00, 0x00, 0x3F, 0x3F, 0x3F, 0x3F, 0x00, 0x3F, 0x3F, 0x00, 0x40, 0x40, 0x00, 0x00, </v>
      </c>
      <c r="Q58" t="str">
        <f t="shared" si="10"/>
        <v xml:space="preserve">newArray(0x00, 0x00, 0x00, 0x3F, 0x3F, 0x3F, 0x3F, 0x00, 0x3F, 0x3F, 0x00, 0x40, 0x40, 0x00, 0x00, 0x7F, </v>
      </c>
      <c r="R58" t="str">
        <f t="shared" si="10"/>
        <v xml:space="preserve">newArray(0x00, 0x00, 0x00, 0x3F, 0x3F, 0x3F, 0x3F, 0x00, 0x3F, 0x3F, 0x00, 0x40, 0x40, 0x00, 0x00, 0x7F, 0x7F, </v>
      </c>
      <c r="S58" t="str">
        <f t="shared" si="10"/>
        <v xml:space="preserve">newArray(0x00, 0x00, 0x00, 0x3F, 0x3F, 0x3F, 0x3F, 0x00, 0x3F, 0x3F, 0x00, 0x40, 0x40, 0x00, 0x00, 0x7F, 0x7F, 0x7F, </v>
      </c>
      <c r="T58" t="str">
        <f t="shared" si="10"/>
        <v xml:space="preserve">newArray(0x00, 0x00, 0x00, 0x3F, 0x3F, 0x3F, 0x3F, 0x00, 0x3F, 0x3F, 0x00, 0x40, 0x40, 0x00, 0x00, 0x7F, 0x7F, 0x7F, 0x7F, </v>
      </c>
      <c r="U58" t="str">
        <f t="shared" si="10"/>
        <v xml:space="preserve">newArray(0x00, 0x00, 0x00, 0x3F, 0x3F, 0x3F, 0x3F, 0x00, 0x3F, 0x3F, 0x00, 0x40, 0x40, 0x00, 0x00, 0x7F, 0x7F, 0x7F, 0x7F, 0x7F, </v>
      </c>
      <c r="V58" t="str">
        <f t="shared" si="10"/>
        <v xml:space="preserve">newArray(0x00, 0x00, 0x00, 0x3F, 0x3F, 0x3F, 0x3F, 0x00, 0x3F, 0x3F, 0x00, 0x40, 0x40, 0x00, 0x00, 0x7F, 0x7F, 0x7F, 0x7F, 0x7F, 0x00, </v>
      </c>
      <c r="W58" t="str">
        <f t="shared" si="10"/>
        <v xml:space="preserve">newArray(0x00, 0x00, 0x00, 0x3F, 0x3F, 0x3F, 0x3F, 0x00, 0x3F, 0x3F, 0x00, 0x40, 0x40, 0x00, 0x00, 0x7F, 0x7F, 0x7F, 0x7F, 0x7F, 0x00, 0x7F, </v>
      </c>
      <c r="X58" t="str">
        <f t="shared" si="10"/>
        <v xml:space="preserve">newArray(0x00, 0x00, 0x00, 0x3F, 0x3F, 0x3F, 0x3F, 0x00, 0x3F, 0x3F, 0x00, 0x40, 0x40, 0x00, 0x00, 0x7F, 0x7F, 0x7F, 0x7F, 0x7F, 0x00, 0x7F, 0x7F, </v>
      </c>
      <c r="Y58" t="str">
        <f t="shared" si="10"/>
        <v xml:space="preserve">newArray(0x00, 0x00, 0x00, 0x3F, 0x3F, 0x3F, 0x3F, 0x00, 0x3F, 0x3F, 0x00, 0x40, 0x40, 0x00, 0x00, 0x7F, 0x7F, 0x7F, 0x7F, 0x7F, 0x00, 0x7F, 0x7F, 0x00, </v>
      </c>
      <c r="Z58" t="str">
        <f t="shared" si="10"/>
        <v xml:space="preserve">newArray(0x00, 0x00, 0x00, 0x3F, 0x3F, 0x3F, 0x3F, 0x00, 0x3F, 0x3F, 0x00, 0x40, 0x40, 0x00, 0x00, 0x7F, 0x7F, 0x7F, 0x7F, 0x7F, 0x00, 0x7F, 0x7F, 0x00, 0x7F, </v>
      </c>
      <c r="AA58" t="str">
        <f t="shared" si="10"/>
        <v xml:space="preserve">newArray(0x00, 0x00, 0x00, 0x3F, 0x3F, 0x3F, 0x3F, 0x00, 0x3F, 0x3F, 0x00, 0x40, 0x40, 0x00, 0x00, 0x7F, 0x7F, 0x7F, 0x7F, 0x7F, 0x00, 0x7F, 0x7F, 0x00, 0x7F, 0x7F, </v>
      </c>
      <c r="AB58" t="str">
        <f t="shared" si="10"/>
        <v xml:space="preserve">newArray(0x00, 0x00, 0x00, 0x3F, 0x3F, 0x3F, 0x3F, 0x00, 0x3F, 0x3F, 0x00, 0x40, 0x40, 0x00, 0x00, 0x7F, 0x7F, 0x7F, 0x7F, 0x7F, 0x00, 0x7F, 0x7F, 0x00, 0x7F, 0x7F, 0x00, </v>
      </c>
      <c r="AC58" t="str">
        <f t="shared" si="10"/>
        <v xml:space="preserve">newArray(0x00, 0x00, 0x00, 0x3F, 0x3F, 0x3F, 0x3F, 0x00, 0x3F, 0x3F, 0x00, 0x40, 0x40, 0x00, 0x00, 0x7F, 0x7F, 0x7F, 0x7F, 0x7F, 0x00, 0x7F, 0x7F, 0x00, 0x7F, 0x7F, 0x00, 0x00, </v>
      </c>
      <c r="AD58" t="str">
        <f t="shared" si="10"/>
        <v xml:space="preserve">newArray(0x00, 0x00, 0x00, 0x3F, 0x3F, 0x3F, 0x3F, 0x00, 0x3F, 0x3F, 0x00, 0x40, 0x40, 0x00, 0x00, 0x7F, 0x7F, 0x7F, 0x7F, 0x7F, 0x00, 0x7F, 0x7F, 0x00, 0x7F, 0x7F, 0x00, 0x00, 0xBF, </v>
      </c>
      <c r="AE58" t="str">
        <f t="shared" si="10"/>
        <v xml:space="preserve">newArray(0x00, 0x00, 0x00, 0x3F, 0x3F, 0x3F, 0x3F, 0x00, 0x3F, 0x3F, 0x00, 0x40, 0x40, 0x00, 0x00, 0x7F, 0x7F, 0x7F, 0x7F, 0x7F, 0x00, 0x7F, 0x7F, 0x00, 0x7F, 0x7F, 0x00, 0x00, 0xBF, 0xBF, </v>
      </c>
      <c r="AF58" t="str">
        <f t="shared" si="10"/>
        <v xml:space="preserve">newArray(0x00, 0x00, 0x00, 0x3F, 0x3F, 0x3F, 0x3F, 0x00, 0x3F, 0x3F, 0x00, 0x40, 0x40, 0x00, 0x00, 0x7F, 0x7F, 0x7F, 0x7F, 0x7F, 0x00, 0x7F, 0x7F, 0x00, 0x7F, 0x7F, 0x00, 0x00, 0xBF, 0xBF, 0xBF, </v>
      </c>
      <c r="AG58" t="str">
        <f t="shared" si="10"/>
        <v xml:space="preserve">newArray(0x00, 0x00, 0x00, 0x3F, 0x3F, 0x3F, 0x3F, 0x00, 0x3F, 0x3F, 0x00, 0x40, 0x40, 0x00, 0x00, 0x7F, 0x7F, 0x7F, 0x7F, 0x7F, 0x00, 0x7F, 0x7F, 0x00, 0x7F, 0x7F, 0x00, 0x00, 0xBF, 0xBF, 0xBF, 0xBF, </v>
      </c>
      <c r="AH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</v>
      </c>
      <c r="AI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</v>
      </c>
      <c r="AJ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0xFF, </v>
      </c>
      <c r="AK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0xFF, 0xFF, </v>
      </c>
      <c r="AL58" t="str">
        <f t="shared" si="10"/>
        <v xml:space="preserve">newArray(0x00, 0x00, 0x00, 0x3F, 0x3F, 0x3F, 0x3F, 0x00, 0x3F, 0x3F, 0x00, 0x40, 0x40, 0x00, 0x00, 0x7F, 0x7F, 0x7F, 0x7F, 0x7F, 0x00, 0x7F, 0x7F, 0x00, 0x7F, 0x7F, 0x00, 0x00, 0xBF, 0xBF, 0xBF, 0xBF, 0x00, 0x00, 0xFF, 0xFF, 0xFF, </v>
      </c>
    </row>
    <row r="59" spans="1:38">
      <c r="A59" s="6" t="s">
        <v>68</v>
      </c>
      <c r="B59" t="str">
        <f t="shared" ref="B59:Q60" si="11">A59&amp;B49&amp;", "</f>
        <v xml:space="preserve">newArray(0x00, </v>
      </c>
      <c r="C59" t="str">
        <f t="shared" si="11"/>
        <v xml:space="preserve">newArray(0x00, 0x00, </v>
      </c>
      <c r="D59" t="str">
        <f t="shared" si="11"/>
        <v xml:space="preserve">newArray(0x00, 0x00, 0x3F, </v>
      </c>
      <c r="E59" t="str">
        <f t="shared" si="11"/>
        <v xml:space="preserve">newArray(0x00, 0x00, 0x3F, 0xC0, </v>
      </c>
      <c r="F59" t="str">
        <f t="shared" si="11"/>
        <v xml:space="preserve">newArray(0x00, 0x00, 0x3F, 0xC0, 0xC0, </v>
      </c>
      <c r="G59" t="str">
        <f t="shared" si="11"/>
        <v xml:space="preserve">newArray(0x00, 0x00, 0x3F, 0xC0, 0xC0, 0xC0, </v>
      </c>
      <c r="H59" t="str">
        <f t="shared" si="11"/>
        <v xml:space="preserve">newArray(0x00, 0x00, 0x3F, 0xC0, 0xC0, 0xC0, 0xC0, </v>
      </c>
      <c r="I59" t="str">
        <f t="shared" si="11"/>
        <v xml:space="preserve">newArray(0x00, 0x00, 0x3F, 0xC0, 0xC0, 0xC0, 0xC0, 0x3F, </v>
      </c>
      <c r="J59" t="str">
        <f t="shared" si="11"/>
        <v xml:space="preserve">newArray(0x00, 0x00, 0x3F, 0xC0, 0xC0, 0xC0, 0xC0, 0x3F, 0xFF, </v>
      </c>
      <c r="K59" t="str">
        <f t="shared" si="11"/>
        <v xml:space="preserve">newArray(0x00, 0x00, 0x3F, 0xC0, 0xC0, 0xC0, 0xC0, 0x3F, 0xFF, 0xFF, </v>
      </c>
      <c r="L59" t="str">
        <f t="shared" si="11"/>
        <v xml:space="preserve">newArray(0x00, 0x00, 0x3F, 0xC0, 0xC0, 0xC0, 0xC0, 0x3F, 0xFF, 0xFF, 0x40, </v>
      </c>
      <c r="M59" t="str">
        <f t="shared" si="11"/>
        <v xml:space="preserve">newArray(0x00, 0x00, 0x3F, 0xC0, 0xC0, 0xC0, 0xC0, 0x3F, 0xFF, 0xFF, 0x40, 0x3F, </v>
      </c>
      <c r="N59" t="str">
        <f t="shared" si="11"/>
        <v xml:space="preserve">newArray(0x00, 0x00, 0x3F, 0xC0, 0xC0, 0xC0, 0xC0, 0x3F, 0xFF, 0xFF, 0x40, 0x3F, 0x3F, </v>
      </c>
      <c r="O59" t="str">
        <f t="shared" si="11"/>
        <v xml:space="preserve">newArray(0x00, 0x00, 0x3F, 0xC0, 0xC0, 0xC0, 0xC0, 0x3F, 0xFF, 0xFF, 0x40, 0x3F, 0x3F, 0x00, </v>
      </c>
      <c r="P59" t="str">
        <f t="shared" si="11"/>
        <v xml:space="preserve">newArray(0x00, 0x00, 0x3F, 0xC0, 0xC0, 0xC0, 0xC0, 0x3F, 0xFF, 0xFF, 0x40, 0x3F, 0x3F, 0x00, 0x7F, </v>
      </c>
      <c r="Q59" t="str">
        <f t="shared" si="11"/>
        <v xml:space="preserve">newArray(0x00, 0x00, 0x3F, 0xC0, 0xC0, 0xC0, 0xC0, 0x3F, 0xFF, 0xFF, 0x40, 0x3F, 0x3F, 0x00, 0x7F, 0x80, </v>
      </c>
      <c r="R59" t="str">
        <f t="shared" si="10"/>
        <v xml:space="preserve">newArray(0x00, 0x00, 0x3F, 0xC0, 0xC0, 0xC0, 0xC0, 0x3F, 0xFF, 0xFF, 0x40, 0x3F, 0x3F, 0x00, 0x7F, 0x80, 0x80, </v>
      </c>
      <c r="S59" t="str">
        <f t="shared" si="10"/>
        <v xml:space="preserve">newArray(0x00, 0x00, 0x3F, 0xC0, 0xC0, 0xC0, 0xC0, 0x3F, 0xFF, 0xFF, 0x40, 0x3F, 0x3F, 0x00, 0x7F, 0x80, 0x80, 0x80, </v>
      </c>
      <c r="T59" t="str">
        <f t="shared" si="10"/>
        <v xml:space="preserve">newArray(0x00, 0x00, 0x3F, 0xC0, 0xC0, 0xC0, 0xC0, 0x3F, 0xFF, 0xFF, 0x40, 0x3F, 0x3F, 0x00, 0x7F, 0x80, 0x80, 0x80, 0x80, </v>
      </c>
      <c r="U59" t="str">
        <f t="shared" si="10"/>
        <v xml:space="preserve">newArray(0x00, 0x00, 0x3F, 0xC0, 0xC0, 0xC0, 0xC0, 0x3F, 0xFF, 0xFF, 0x40, 0x3F, 0x3F, 0x00, 0x7F, 0x80, 0x80, 0x80, 0x80, 0x80, </v>
      </c>
      <c r="V59" t="str">
        <f t="shared" si="10"/>
        <v xml:space="preserve">newArray(0x00, 0x00, 0x3F, 0xC0, 0xC0, 0xC0, 0xC0, 0x3F, 0xFF, 0xFF, 0x40, 0x3F, 0x3F, 0x00, 0x7F, 0x80, 0x80, 0x80, 0x80, 0x80, 0x7F, </v>
      </c>
      <c r="W59" t="str">
        <f t="shared" si="10"/>
        <v xml:space="preserve">newArray(0x00, 0x00, 0x3F, 0xC0, 0xC0, 0xC0, 0xC0, 0x3F, 0xFF, 0xFF, 0x40, 0x3F, 0x3F, 0x00, 0x7F, 0x80, 0x80, 0x80, 0x80, 0x80, 0x7F, 0xBF, </v>
      </c>
      <c r="X59" t="str">
        <f t="shared" si="10"/>
        <v xml:space="preserve">newArray(0x00, 0x00, 0x3F, 0xC0, 0xC0, 0xC0, 0xC0, 0x3F, 0xFF, 0xFF, 0x40, 0x3F, 0x3F, 0x00, 0x7F, 0x80, 0x80, 0x80, 0x80, 0x80, 0x7F, 0xBF, 0xC0, </v>
      </c>
      <c r="Y59" t="str">
        <f t="shared" si="10"/>
        <v xml:space="preserve">newArray(0x00, 0x00, 0x3F, 0xC0, 0xC0, 0xC0, 0xC0, 0x3F, 0xFF, 0xFF, 0x40, 0x3F, 0x3F, 0x00, 0x7F, 0x80, 0x80, 0x80, 0x80, 0x80, 0x7F, 0xBF, 0xC0, 0x7F, </v>
      </c>
      <c r="Z59" t="str">
        <f t="shared" si="10"/>
        <v xml:space="preserve">newArray(0x00, 0x00, 0x3F, 0xC0, 0xC0, 0xC0, 0xC0, 0x3F, 0xFF, 0xFF, 0x40, 0x3F, 0x3F, 0x00, 0x7F, 0x80, 0x80, 0x80, 0x80, 0x80, 0x7F, 0xBF, 0xC0, 0x7F, 0xFF, </v>
      </c>
      <c r="AA59" t="str">
        <f t="shared" si="10"/>
        <v xml:space="preserve">newArray(0x00, 0x00, 0x3F, 0xC0, 0xC0, 0xC0, 0xC0, 0x3F, 0xFF, 0xFF, 0x40, 0x3F, 0x3F, 0x00, 0x7F, 0x80, 0x80, 0x80, 0x80, 0x80, 0x7F, 0xBF, 0xC0, 0x7F, 0xFF, 0xFF, </v>
      </c>
      <c r="AB59" t="str">
        <f t="shared" si="10"/>
        <v xml:space="preserve">newArray(0x00, 0x00, 0x3F, 0xC0, 0xC0, 0xC0, 0xC0, 0x3F, 0xFF, 0xFF, 0x40, 0x3F, 0x3F, 0x00, 0x7F, 0x80, 0x80, 0x80, 0x80, 0x80, 0x7F, 0xBF, 0xC0, 0x7F, 0xFF, 0xFF, 0x00, </v>
      </c>
      <c r="AC59" t="str">
        <f t="shared" si="10"/>
        <v xml:space="preserve">newArray(0x00, 0x00, 0x3F, 0xC0, 0xC0, 0xC0, 0xC0, 0x3F, 0xFF, 0xFF, 0x40, 0x3F, 0x3F, 0x00, 0x7F, 0x80, 0x80, 0x80, 0x80, 0x80, 0x7F, 0xBF, 0xC0, 0x7F, 0xFF, 0xFF, 0x00, 0xBF, </v>
      </c>
      <c r="AD59" t="str">
        <f t="shared" si="10"/>
        <v xml:space="preserve">newArray(0x00, 0x00, 0x3F, 0xC0, 0xC0, 0xC0, 0xC0, 0x3F, 0xFF, 0xFF, 0x40, 0x3F, 0x3F, 0x00, 0x7F, 0x80, 0x80, 0x80, 0x80, 0x80, 0x7F, 0xBF, 0xC0, 0x7F, 0xFF, 0xFF, 0x00, 0xBF, 0x40, </v>
      </c>
      <c r="AE59" t="str">
        <f t="shared" si="10"/>
        <v xml:space="preserve">newArray(0x00, 0x00, 0x3F, 0xC0, 0xC0, 0xC0, 0xC0, 0x3F, 0xFF, 0xFF, 0x40, 0x3F, 0x3F, 0x00, 0x7F, 0x80, 0x80, 0x80, 0x80, 0x80, 0x7F, 0xBF, 0xC0, 0x7F, 0xFF, 0xFF, 0x00, 0xBF, 0x40, 0x40, </v>
      </c>
      <c r="AF59" t="str">
        <f t="shared" si="10"/>
        <v xml:space="preserve">newArray(0x00, 0x00, 0x3F, 0xC0, 0xC0, 0xC0, 0xC0, 0x3F, 0xFF, 0xFF, 0x40, 0x3F, 0x3F, 0x00, 0x7F, 0x80, 0x80, 0x80, 0x80, 0x80, 0x7F, 0xBF, 0xC0, 0x7F, 0xFF, 0xFF, 0x00, 0xBF, 0x40, 0x40, 0x40, </v>
      </c>
      <c r="AG59" t="str">
        <f t="shared" si="10"/>
        <v xml:space="preserve">newArray(0x00, 0x00, 0x3F, 0xC0, 0xC0, 0xC0, 0xC0, 0x3F, 0xFF, 0xFF, 0x40, 0x3F, 0x3F, 0x00, 0x7F, 0x80, 0x80, 0x80, 0x80, 0x80, 0x7F, 0xBF, 0xC0, 0x7F, 0xFF, 0xFF, 0x00, 0xBF, 0x40, 0x40, 0x40, 0x40, </v>
      </c>
      <c r="AH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</v>
      </c>
      <c r="AI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</v>
      </c>
      <c r="AJ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0x00, </v>
      </c>
      <c r="AK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0x00, 0x00, </v>
      </c>
      <c r="AL59" t="str">
        <f t="shared" si="10"/>
        <v xml:space="preserve">newArray(0x00, 0x00, 0x3F, 0xC0, 0xC0, 0xC0, 0xC0, 0x3F, 0xFF, 0xFF, 0x40, 0x3F, 0x3F, 0x00, 0x7F, 0x80, 0x80, 0x80, 0x80, 0x80, 0x7F, 0xBF, 0xC0, 0x7F, 0xFF, 0xFF, 0x00, 0xBF, 0x40, 0x40, 0x40, 0x40, 0x00, 0xFF, 0x00, 0x00, 0x00, </v>
      </c>
    </row>
    <row r="60" spans="1:38">
      <c r="A60" s="6" t="s">
        <v>68</v>
      </c>
      <c r="B60" t="str">
        <f t="shared" si="11"/>
        <v xml:space="preserve">newArray(0x00, </v>
      </c>
      <c r="C60" t="str">
        <f t="shared" si="10"/>
        <v xml:space="preserve">newArray(0x00, 0x3F, </v>
      </c>
      <c r="D60" t="str">
        <f t="shared" si="10"/>
        <v xml:space="preserve">newArray(0x00, 0x3F, 0xC0, </v>
      </c>
      <c r="E60" t="str">
        <f t="shared" si="10"/>
        <v xml:space="preserve">newArray(0x00, 0x3F, 0xC0, 0x00, </v>
      </c>
      <c r="F60" t="str">
        <f t="shared" si="10"/>
        <v xml:space="preserve">newArray(0x00, 0x3F, 0xC0, 0x00, 0x3F, </v>
      </c>
      <c r="G60" t="str">
        <f t="shared" si="10"/>
        <v xml:space="preserve">newArray(0x00, 0x3F, 0xC0, 0x00, 0x3F, 0x7F, </v>
      </c>
      <c r="H60" t="str">
        <f t="shared" si="10"/>
        <v xml:space="preserve">newArray(0x00, 0x3F, 0xC0, 0x00, 0x3F, 0x7F, 0xBF, </v>
      </c>
      <c r="I60" t="str">
        <f t="shared" si="10"/>
        <v xml:space="preserve">newArray(0x00, 0x3F, 0xC0, 0x00, 0x3F, 0x7F, 0xBF, 0xFF, </v>
      </c>
      <c r="J60" t="str">
        <f t="shared" si="10"/>
        <v xml:space="preserve">newArray(0x00, 0x3F, 0xC0, 0x00, 0x3F, 0x7F, 0xBF, 0xFF, 0xC0, </v>
      </c>
      <c r="K60" t="str">
        <f t="shared" si="10"/>
        <v xml:space="preserve">newArray(0x00, 0x3F, 0xC0, 0x00, 0x3F, 0x7F, 0xBF, 0xFF, 0xC0, 0xFF, </v>
      </c>
      <c r="L60" t="str">
        <f t="shared" si="10"/>
        <v xml:space="preserve">newArray(0x00, 0x3F, 0xC0, 0x00, 0x3F, 0x7F, 0xBF, 0xFF, 0xC0, 0xFF, 0x3F, </v>
      </c>
      <c r="M60" t="str">
        <f t="shared" si="10"/>
        <v xml:space="preserve">newArray(0x00, 0x3F, 0xC0, 0x00, 0x3F, 0x7F, 0xBF, 0xFF, 0xC0, 0xFF, 0x3F, 0x80, </v>
      </c>
      <c r="N60" t="str">
        <f t="shared" si="10"/>
        <v xml:space="preserve">newArray(0x00, 0x3F, 0xC0, 0x00, 0x3F, 0x7F, 0xBF, 0xFF, 0xC0, 0xFF, 0x3F, 0x80, 0xBF, </v>
      </c>
      <c r="O60" t="str">
        <f t="shared" si="10"/>
        <v xml:space="preserve">newArray(0x00, 0x3F, 0xC0, 0x00, 0x3F, 0x7F, 0xBF, 0xFF, 0xC0, 0xFF, 0x3F, 0x80, 0xBF, 0x7F, </v>
      </c>
      <c r="P60" t="str">
        <f t="shared" si="10"/>
        <v xml:space="preserve">newArray(0x00, 0x3F, 0xC0, 0x00, 0x3F, 0x7F, 0xBF, 0xFF, 0xC0, 0xFF, 0x3F, 0x80, 0xBF, 0x7F, 0x80, </v>
      </c>
      <c r="Q60" t="str">
        <f t="shared" si="10"/>
        <v xml:space="preserve">newArray(0x00, 0x3F, 0xC0, 0x00, 0x3F, 0x7F, 0xBF, 0xFF, 0xC0, 0xFF, 0x3F, 0x80, 0xBF, 0x7F, 0x80, 0x00, </v>
      </c>
      <c r="R60" t="str">
        <f t="shared" si="10"/>
        <v xml:space="preserve">newArray(0x00, 0x3F, 0xC0, 0x00, 0x3F, 0x7F, 0xBF, 0xFF, 0xC0, 0xFF, 0x3F, 0x80, 0xBF, 0x7F, 0x80, 0x00, 0x3F, </v>
      </c>
      <c r="S60" t="str">
        <f t="shared" si="10"/>
        <v xml:space="preserve">newArray(0x00, 0x3F, 0xC0, 0x00, 0x3F, 0x7F, 0xBF, 0xFF, 0xC0, 0xFF, 0x3F, 0x80, 0xBF, 0x7F, 0x80, 0x00, 0x3F, 0x7F, </v>
      </c>
      <c r="T60" t="str">
        <f t="shared" si="10"/>
        <v xml:space="preserve">newArray(0x00, 0x3F, 0xC0, 0x00, 0x3F, 0x7F, 0xBF, 0xFF, 0xC0, 0xFF, 0x3F, 0x80, 0xBF, 0x7F, 0x80, 0x00, 0x3F, 0x7F, 0xBF, </v>
      </c>
      <c r="U60" t="str">
        <f t="shared" si="10"/>
        <v xml:space="preserve">newArray(0x00, 0x3F, 0xC0, 0x00, 0x3F, 0x7F, 0xBF, 0xFF, 0xC0, 0xFF, 0x3F, 0x80, 0xBF, 0x7F, 0x80, 0x00, 0x3F, 0x7F, 0xBF, 0xFF, </v>
      </c>
      <c r="V60" t="str">
        <f t="shared" si="10"/>
        <v xml:space="preserve">newArray(0x00, 0x3F, 0xC0, 0x00, 0x3F, 0x7F, 0xBF, 0xFF, 0xC0, 0xFF, 0x3F, 0x80, 0xBF, 0x7F, 0x80, 0x00, 0x3F, 0x7F, 0xBF, 0xFF, 0xBF, </v>
      </c>
      <c r="W60" t="str">
        <f t="shared" si="10"/>
        <v xml:space="preserve">newArray(0x00, 0x3F, 0xC0, 0x00, 0x3F, 0x7F, 0xBF, 0xFF, 0xC0, 0xFF, 0x3F, 0x80, 0xBF, 0x7F, 0x80, 0x00, 0x3F, 0x7F, 0xBF, 0xFF, 0xBF, 0xC0, </v>
      </c>
      <c r="X60" t="str">
        <f t="shared" si="10"/>
        <v xml:space="preserve">newArray(0x00, 0x3F, 0xC0, 0x00, 0x3F, 0x7F, 0xBF, 0xFF, 0xC0, 0xFF, 0x3F, 0x80, 0xBF, 0x7F, 0x80, 0x00, 0x3F, 0x7F, 0xBF, 0xFF, 0xBF, 0xC0, 0x3F, </v>
      </c>
      <c r="Y60" t="str">
        <f t="shared" si="10"/>
        <v xml:space="preserve">newArray(0x00, 0x3F, 0xC0, 0x00, 0x3F, 0x7F, 0xBF, 0xFF, 0xC0, 0xFF, 0x3F, 0x80, 0xBF, 0x7F, 0x80, 0x00, 0x3F, 0x7F, 0xBF, 0xFF, 0xBF, 0xC0, 0x3F, 0xFF, </v>
      </c>
      <c r="Z60" t="str">
        <f t="shared" si="10"/>
        <v xml:space="preserve">newArray(0x00, 0x3F, 0xC0, 0x00, 0x3F, 0x7F, 0xBF, 0xFF, 0xC0, 0xFF, 0x3F, 0x80, 0xBF, 0x7F, 0x80, 0x00, 0x3F, 0x7F, 0xBF, 0xFF, 0xBF, 0xC0, 0x3F, 0xFF, 0x80, </v>
      </c>
      <c r="AA60" t="str">
        <f t="shared" si="10"/>
        <v xml:space="preserve">newArray(0x00, 0x3F, 0xC0, 0x00, 0x3F, 0x7F, 0xBF, 0xFF, 0xC0, 0xFF, 0x3F, 0x80, 0xBF, 0x7F, 0x80, 0x00, 0x3F, 0x7F, 0xBF, 0xFF, 0xBF, 0xC0, 0x3F, 0xFF, 0x80, 0xFF, </v>
      </c>
      <c r="AB60" t="str">
        <f t="shared" si="10"/>
        <v xml:space="preserve">newArray(0x00, 0x3F, 0xC0, 0x00, 0x3F, 0x7F, 0xBF, 0xFF, 0xC0, 0xFF, 0x3F, 0x80, 0xBF, 0x7F, 0x80, 0x00, 0x3F, 0x7F, 0xBF, 0xFF, 0xBF, 0xC0, 0x3F, 0xFF, 0x80, 0xFF, 0xBF, </v>
      </c>
      <c r="AC60" t="str">
        <f t="shared" si="10"/>
        <v xml:space="preserve">newArray(0x00, 0x3F, 0xC0, 0x00, 0x3F, 0x7F, 0xBF, 0xFF, 0xC0, 0xFF, 0x3F, 0x80, 0xBF, 0x7F, 0x80, 0x00, 0x3F, 0x7F, 0xBF, 0xFF, 0xBF, 0xC0, 0x3F, 0xFF, 0x80, 0xFF, 0xBF, 0x40, </v>
      </c>
      <c r="AD60" t="str">
        <f t="shared" si="10"/>
        <v xml:space="preserve">newArray(0x00, 0x3F, 0xC0, 0x00, 0x3F, 0x7F, 0xBF, 0xFF, 0xC0, 0xFF, 0x3F, 0x80, 0xBF, 0x7F, 0x80, 0x00, 0x3F, 0x7F, 0xBF, 0xFF, 0xBF, 0xC0, 0x3F, 0xFF, 0x80, 0xFF, 0xBF, 0x40, 0x00, </v>
      </c>
      <c r="AE60" t="str">
        <f t="shared" si="10"/>
        <v xml:space="preserve">newArray(0x00, 0x3F, 0xC0, 0x00, 0x3F, 0x7F, 0xBF, 0xFF, 0xC0, 0xFF, 0x3F, 0x80, 0xBF, 0x7F, 0x80, 0x00, 0x3F, 0x7F, 0xBF, 0xFF, 0xBF, 0xC0, 0x3F, 0xFF, 0x80, 0xFF, 0xBF, 0x40, 0x00, 0x3F, </v>
      </c>
      <c r="AF60" t="str">
        <f t="shared" si="10"/>
        <v xml:space="preserve">newArray(0x00, 0x3F, 0xC0, 0x00, 0x3F, 0x7F, 0xBF, 0xFF, 0xC0, 0xFF, 0x3F, 0x80, 0xBF, 0x7F, 0x80, 0x00, 0x3F, 0x7F, 0xBF, 0xFF, 0xBF, 0xC0, 0x3F, 0xFF, 0x80, 0xFF, 0xBF, 0x40, 0x00, 0x3F, 0x7F, </v>
      </c>
      <c r="AG60" t="str">
        <f t="shared" si="10"/>
        <v xml:space="preserve">newArray(0x00, 0x3F, 0xC0, 0x00, 0x3F, 0x7F, 0xBF, 0xFF, 0xC0, 0xFF, 0x3F, 0x80, 0xBF, 0x7F, 0x80, 0x00, 0x3F, 0x7F, 0xBF, 0xFF, 0xBF, 0xC0, 0x3F, 0xFF, 0x80, 0xFF, 0xBF, 0x40, 0x00, 0x3F, 0x7F, 0xBF, </v>
      </c>
      <c r="AH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</v>
      </c>
      <c r="AI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</v>
      </c>
      <c r="AJ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0x00, </v>
      </c>
      <c r="AK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0x00, 0x7F, </v>
      </c>
      <c r="AL60" t="str">
        <f t="shared" si="10"/>
        <v xml:space="preserve">newArray(0x00, 0x3F, 0xC0, 0x00, 0x3F, 0x7F, 0xBF, 0xFF, 0xC0, 0xFF, 0x3F, 0x80, 0xBF, 0x7F, 0x80, 0x00, 0x3F, 0x7F, 0xBF, 0xFF, 0xBF, 0xC0, 0x3F, 0xFF, 0x80, 0xFF, 0xBF, 0x40, 0x00, 0x3F, 0x7F, 0xBF, 0xFF, 0x00, 0x00, 0x7F, 0xFF, </v>
      </c>
    </row>
    <row r="61" spans="1:38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</row>
    <row r="62" spans="1:38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</row>
    <row r="63" spans="1:38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E5" sqref="E5"/>
    </sheetView>
  </sheetViews>
  <sheetFormatPr defaultRowHeight="15"/>
  <sheetData>
    <row r="1" spans="1:1">
      <c r="A1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66</v>
      </c>
    </row>
    <row r="17" spans="1:1">
      <c r="A17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N2" sqref="N2"/>
    </sheetView>
  </sheetViews>
  <sheetFormatPr defaultColWidth="2.7109375" defaultRowHeight="15"/>
  <sheetData>
    <row r="1" spans="1:13">
      <c r="A1">
        <v>0</v>
      </c>
      <c r="B1">
        <v>4</v>
      </c>
      <c r="C1" s="1">
        <v>4</v>
      </c>
      <c r="I1">
        <v>4</v>
      </c>
      <c r="J1">
        <v>4</v>
      </c>
      <c r="L1">
        <v>4</v>
      </c>
      <c r="M1">
        <v>4</v>
      </c>
    </row>
    <row r="2" spans="1:13">
      <c r="A2">
        <v>1</v>
      </c>
      <c r="B2">
        <v>4</v>
      </c>
      <c r="C2" s="1">
        <v>2</v>
      </c>
      <c r="I2">
        <v>4</v>
      </c>
      <c r="J2">
        <v>2</v>
      </c>
      <c r="L2">
        <v>2</v>
      </c>
      <c r="M2">
        <v>2</v>
      </c>
    </row>
    <row r="3" spans="1:13">
      <c r="A3">
        <v>2</v>
      </c>
      <c r="B3">
        <v>4</v>
      </c>
      <c r="C3" s="1">
        <v>1</v>
      </c>
    </row>
    <row r="4" spans="1:13">
      <c r="A4">
        <v>3</v>
      </c>
      <c r="B4">
        <v>4</v>
      </c>
      <c r="C4" s="1">
        <v>3</v>
      </c>
    </row>
    <row r="5" spans="1:13">
      <c r="A5">
        <v>4</v>
      </c>
      <c r="B5">
        <v>4</v>
      </c>
      <c r="C5" s="1">
        <v>0</v>
      </c>
    </row>
    <row r="6" spans="1:13">
      <c r="A6">
        <v>5</v>
      </c>
      <c r="B6">
        <v>0</v>
      </c>
      <c r="C6" s="1">
        <v>2</v>
      </c>
    </row>
    <row r="7" spans="1:13">
      <c r="A7">
        <v>6</v>
      </c>
      <c r="B7">
        <v>0</v>
      </c>
      <c r="C7" s="1">
        <v>1</v>
      </c>
    </row>
    <row r="8" spans="1:13">
      <c r="A8">
        <v>7</v>
      </c>
      <c r="B8">
        <v>0</v>
      </c>
      <c r="C8" s="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I6" sqref="I6"/>
    </sheetView>
  </sheetViews>
  <sheetFormatPr defaultRowHeight="15"/>
  <sheetData>
    <row r="1" spans="1:17">
      <c r="N1" t="s">
        <v>70</v>
      </c>
      <c r="O1" t="s">
        <v>71</v>
      </c>
      <c r="P1" t="s">
        <v>72</v>
      </c>
      <c r="Q1" t="s">
        <v>74</v>
      </c>
    </row>
    <row r="2" spans="1:17">
      <c r="N2">
        <v>0</v>
      </c>
      <c r="O2">
        <v>8080</v>
      </c>
      <c r="P2" t="s">
        <v>73</v>
      </c>
      <c r="Q2" t="str">
        <f>DEC2HEX(Q3)</f>
        <v>552AD5</v>
      </c>
    </row>
    <row r="3" spans="1:17">
      <c r="N3">
        <f>HEX2DEC(N2)</f>
        <v>0</v>
      </c>
      <c r="O3">
        <f t="shared" ref="O3:P3" si="0">HEX2DEC(O2)</f>
        <v>32896</v>
      </c>
      <c r="P3">
        <f t="shared" si="0"/>
        <v>16711680</v>
      </c>
      <c r="Q3">
        <f>AVERAGE(N3:P3)</f>
        <v>5581525.333333333</v>
      </c>
    </row>
    <row r="5" spans="1:17">
      <c r="A5" t="s">
        <v>51</v>
      </c>
      <c r="B5" s="5" t="s">
        <v>7</v>
      </c>
      <c r="C5" s="5" t="s">
        <v>8</v>
      </c>
      <c r="D5" s="5" t="s">
        <v>4</v>
      </c>
      <c r="E5" s="5" t="s">
        <v>5</v>
      </c>
      <c r="F5" s="5" t="s">
        <v>49</v>
      </c>
      <c r="G5" s="5" t="s">
        <v>69</v>
      </c>
    </row>
    <row r="6" spans="1:17">
      <c r="A6">
        <v>0</v>
      </c>
      <c r="B6" s="1">
        <v>0</v>
      </c>
      <c r="C6" s="1">
        <v>0</v>
      </c>
      <c r="D6" s="1">
        <v>1</v>
      </c>
      <c r="E6" s="1">
        <v>1</v>
      </c>
      <c r="F6" s="1" t="s">
        <v>12</v>
      </c>
      <c r="G6">
        <f>HEX2DEC(F6)</f>
        <v>0</v>
      </c>
    </row>
    <row r="7" spans="1:17">
      <c r="A7">
        <v>1</v>
      </c>
      <c r="B7" s="1">
        <v>1</v>
      </c>
      <c r="C7" s="1">
        <v>0</v>
      </c>
      <c r="D7" s="1">
        <v>1</v>
      </c>
      <c r="E7" s="1">
        <v>1</v>
      </c>
      <c r="F7" s="1" t="s">
        <v>14</v>
      </c>
      <c r="G7">
        <f>HEX2DEC(F7)</f>
        <v>63</v>
      </c>
    </row>
    <row r="8" spans="1:17">
      <c r="A8">
        <v>2</v>
      </c>
      <c r="B8" s="1">
        <v>4</v>
      </c>
      <c r="C8" s="1">
        <v>0</v>
      </c>
      <c r="D8" s="1">
        <v>1</v>
      </c>
      <c r="E8" s="1">
        <v>1</v>
      </c>
      <c r="F8" s="1" t="s">
        <v>20</v>
      </c>
      <c r="G8">
        <f t="shared" ref="G8:G42" si="1">HEX2DEC(F8)</f>
        <v>16320</v>
      </c>
    </row>
    <row r="9" spans="1:17">
      <c r="A9">
        <v>3</v>
      </c>
      <c r="B9" s="1">
        <v>2</v>
      </c>
      <c r="C9" s="1">
        <v>0</v>
      </c>
      <c r="D9" s="1">
        <v>1</v>
      </c>
      <c r="E9" s="1">
        <v>1</v>
      </c>
      <c r="F9" s="1" t="s">
        <v>16</v>
      </c>
      <c r="G9">
        <f t="shared" si="1"/>
        <v>4177920</v>
      </c>
    </row>
    <row r="10" spans="1:17">
      <c r="A10">
        <v>4</v>
      </c>
      <c r="B10" s="1">
        <v>3</v>
      </c>
      <c r="C10" s="1">
        <v>0</v>
      </c>
      <c r="D10" s="1">
        <v>1</v>
      </c>
      <c r="E10" s="1">
        <v>1</v>
      </c>
      <c r="F10" s="1" t="s">
        <v>18</v>
      </c>
      <c r="G10">
        <f t="shared" si="1"/>
        <v>4177983</v>
      </c>
    </row>
    <row r="11" spans="1:17">
      <c r="A11">
        <v>5</v>
      </c>
      <c r="B11" s="1">
        <v>3</v>
      </c>
      <c r="C11" s="1">
        <v>1</v>
      </c>
      <c r="D11" s="1">
        <v>1</v>
      </c>
      <c r="E11" s="1">
        <v>1</v>
      </c>
      <c r="F11" s="1" t="s">
        <v>25</v>
      </c>
      <c r="G11">
        <f t="shared" si="1"/>
        <v>4178047</v>
      </c>
    </row>
    <row r="12" spans="1:17">
      <c r="A12">
        <v>6</v>
      </c>
      <c r="B12" s="1">
        <v>1</v>
      </c>
      <c r="C12" s="1">
        <v>3</v>
      </c>
      <c r="D12" s="1">
        <v>2</v>
      </c>
      <c r="E12" s="1">
        <v>1</v>
      </c>
      <c r="F12" s="1" t="s">
        <v>36</v>
      </c>
      <c r="G12">
        <f t="shared" si="1"/>
        <v>4178111</v>
      </c>
    </row>
    <row r="13" spans="1:17">
      <c r="A13">
        <v>7</v>
      </c>
      <c r="B13" s="1">
        <v>4</v>
      </c>
      <c r="C13" s="1">
        <v>1</v>
      </c>
      <c r="D13" s="1">
        <v>1</v>
      </c>
      <c r="E13" s="1">
        <v>1</v>
      </c>
      <c r="F13" s="1" t="s">
        <v>26</v>
      </c>
      <c r="G13">
        <f t="shared" si="1"/>
        <v>16383</v>
      </c>
    </row>
    <row r="14" spans="1:17">
      <c r="A14">
        <v>8</v>
      </c>
      <c r="B14" s="1">
        <v>4</v>
      </c>
      <c r="C14" s="1">
        <v>2</v>
      </c>
      <c r="D14" s="1">
        <v>1</v>
      </c>
      <c r="E14" s="1">
        <v>1</v>
      </c>
      <c r="F14" s="1" t="s">
        <v>28</v>
      </c>
      <c r="G14">
        <f t="shared" si="1"/>
        <v>4194240</v>
      </c>
    </row>
    <row r="15" spans="1:17">
      <c r="A15">
        <v>9</v>
      </c>
      <c r="B15" s="1">
        <v>4</v>
      </c>
      <c r="C15" s="1">
        <v>3</v>
      </c>
      <c r="D15" s="1">
        <v>1</v>
      </c>
      <c r="E15" s="1">
        <v>1</v>
      </c>
      <c r="F15" s="1" t="s">
        <v>29</v>
      </c>
      <c r="G15">
        <f t="shared" si="1"/>
        <v>4194303</v>
      </c>
    </row>
    <row r="16" spans="1:17">
      <c r="A16">
        <v>10</v>
      </c>
      <c r="B16" s="1">
        <v>1</v>
      </c>
      <c r="C16" s="1">
        <v>4</v>
      </c>
      <c r="D16" s="1">
        <v>2</v>
      </c>
      <c r="E16" s="1">
        <v>1</v>
      </c>
      <c r="F16" s="1" t="s">
        <v>40</v>
      </c>
      <c r="G16">
        <f t="shared" si="1"/>
        <v>16447</v>
      </c>
    </row>
    <row r="17" spans="1:7">
      <c r="A17">
        <v>11</v>
      </c>
      <c r="B17" s="1">
        <v>4</v>
      </c>
      <c r="C17" s="1">
        <v>2</v>
      </c>
      <c r="D17" s="1">
        <v>2</v>
      </c>
      <c r="E17" s="1">
        <v>1</v>
      </c>
      <c r="F17" s="1" t="s">
        <v>35</v>
      </c>
      <c r="G17">
        <f t="shared" si="1"/>
        <v>4210560</v>
      </c>
    </row>
    <row r="18" spans="1:7">
      <c r="A18">
        <v>12</v>
      </c>
      <c r="B18" s="1">
        <v>4</v>
      </c>
      <c r="C18" s="1">
        <v>3</v>
      </c>
      <c r="D18" s="1">
        <v>2</v>
      </c>
      <c r="E18" s="1">
        <v>1</v>
      </c>
      <c r="F18" s="1" t="s">
        <v>39</v>
      </c>
      <c r="G18">
        <f t="shared" si="1"/>
        <v>4210623</v>
      </c>
    </row>
    <row r="19" spans="1:7">
      <c r="A19">
        <v>13</v>
      </c>
      <c r="B19" s="1">
        <v>1</v>
      </c>
      <c r="C19" s="1">
        <v>1</v>
      </c>
      <c r="D19" s="1">
        <v>1</v>
      </c>
      <c r="E19" s="1">
        <v>1</v>
      </c>
      <c r="F19" s="1" t="s">
        <v>13</v>
      </c>
      <c r="G19">
        <f t="shared" si="1"/>
        <v>127</v>
      </c>
    </row>
    <row r="20" spans="1:7">
      <c r="A20">
        <v>14</v>
      </c>
      <c r="B20" s="1">
        <v>4</v>
      </c>
      <c r="C20" s="1">
        <v>4</v>
      </c>
      <c r="D20" s="1">
        <v>1</v>
      </c>
      <c r="E20" s="1">
        <v>1</v>
      </c>
      <c r="F20" s="1" t="s">
        <v>19</v>
      </c>
      <c r="G20">
        <f t="shared" si="1"/>
        <v>32640</v>
      </c>
    </row>
    <row r="21" spans="1:7">
      <c r="A21">
        <v>15</v>
      </c>
      <c r="B21" s="1">
        <v>2</v>
      </c>
      <c r="C21" s="1">
        <v>2</v>
      </c>
      <c r="D21" s="1">
        <v>1</v>
      </c>
      <c r="E21" s="1">
        <v>1</v>
      </c>
      <c r="F21" s="1" t="s">
        <v>15</v>
      </c>
      <c r="G21">
        <f t="shared" si="1"/>
        <v>8355840</v>
      </c>
    </row>
    <row r="22" spans="1:7">
      <c r="A22">
        <v>16</v>
      </c>
      <c r="B22" s="1">
        <v>3</v>
      </c>
      <c r="C22" s="1">
        <v>2</v>
      </c>
      <c r="D22" s="1">
        <v>1</v>
      </c>
      <c r="E22" s="1">
        <v>1</v>
      </c>
      <c r="F22" s="1" t="s">
        <v>27</v>
      </c>
      <c r="G22">
        <f t="shared" si="1"/>
        <v>8355903</v>
      </c>
    </row>
    <row r="23" spans="1:7">
      <c r="A23">
        <v>17</v>
      </c>
      <c r="B23" s="1">
        <v>3</v>
      </c>
      <c r="C23" s="1">
        <v>3</v>
      </c>
      <c r="D23" s="1">
        <v>1</v>
      </c>
      <c r="E23" s="1">
        <v>1</v>
      </c>
      <c r="F23" s="1" t="s">
        <v>17</v>
      </c>
      <c r="G23">
        <f t="shared" si="1"/>
        <v>8355967</v>
      </c>
    </row>
    <row r="24" spans="1:7">
      <c r="A24">
        <v>18</v>
      </c>
      <c r="B24" s="1">
        <v>3</v>
      </c>
      <c r="C24" s="1">
        <v>1</v>
      </c>
      <c r="D24" s="1">
        <v>2</v>
      </c>
      <c r="E24" s="1">
        <v>1</v>
      </c>
      <c r="F24" s="1" t="s">
        <v>31</v>
      </c>
      <c r="G24">
        <f t="shared" si="1"/>
        <v>8356031</v>
      </c>
    </row>
    <row r="25" spans="1:7">
      <c r="A25">
        <v>19</v>
      </c>
      <c r="B25" s="1">
        <v>3</v>
      </c>
      <c r="C25" s="1">
        <v>1</v>
      </c>
      <c r="D25" s="1">
        <v>2</v>
      </c>
      <c r="E25" s="1">
        <v>2</v>
      </c>
      <c r="F25" s="1" t="s">
        <v>44</v>
      </c>
      <c r="G25">
        <f t="shared" si="1"/>
        <v>8356095</v>
      </c>
    </row>
    <row r="26" spans="1:7">
      <c r="A26">
        <v>20</v>
      </c>
      <c r="B26" s="1">
        <v>4</v>
      </c>
      <c r="C26" s="1">
        <v>1</v>
      </c>
      <c r="D26" s="1">
        <v>2</v>
      </c>
      <c r="E26" s="1">
        <v>1</v>
      </c>
      <c r="F26" s="1" t="s">
        <v>32</v>
      </c>
      <c r="G26">
        <f t="shared" si="1"/>
        <v>32703</v>
      </c>
    </row>
    <row r="27" spans="1:7">
      <c r="A27">
        <v>21</v>
      </c>
      <c r="B27" s="1">
        <v>2</v>
      </c>
      <c r="C27" s="1">
        <v>4</v>
      </c>
      <c r="D27" s="1">
        <v>2</v>
      </c>
      <c r="E27" s="1">
        <v>1</v>
      </c>
      <c r="F27" s="1" t="s">
        <v>41</v>
      </c>
      <c r="G27">
        <f t="shared" si="1"/>
        <v>8372160</v>
      </c>
    </row>
    <row r="28" spans="1:7">
      <c r="A28">
        <v>22</v>
      </c>
      <c r="B28" s="1">
        <v>3</v>
      </c>
      <c r="C28" s="1">
        <v>4</v>
      </c>
      <c r="D28" s="1">
        <v>2</v>
      </c>
      <c r="E28" s="1">
        <v>1</v>
      </c>
      <c r="F28" s="1" t="s">
        <v>42</v>
      </c>
      <c r="G28">
        <f t="shared" si="1"/>
        <v>8372287</v>
      </c>
    </row>
    <row r="29" spans="1:7">
      <c r="A29">
        <v>23</v>
      </c>
      <c r="B29" s="1">
        <v>4</v>
      </c>
      <c r="C29" s="1">
        <v>1</v>
      </c>
      <c r="D29" s="1">
        <v>2</v>
      </c>
      <c r="E29" s="1">
        <v>2</v>
      </c>
      <c r="F29" s="1" t="s">
        <v>45</v>
      </c>
      <c r="G29">
        <f t="shared" si="1"/>
        <v>32767</v>
      </c>
    </row>
    <row r="30" spans="1:7">
      <c r="A30">
        <v>24</v>
      </c>
      <c r="B30" s="1">
        <v>4</v>
      </c>
      <c r="C30" s="1">
        <v>2</v>
      </c>
      <c r="D30" s="1">
        <v>2</v>
      </c>
      <c r="E30" s="1">
        <v>2</v>
      </c>
      <c r="F30" s="1" t="s">
        <v>47</v>
      </c>
      <c r="G30">
        <f t="shared" si="1"/>
        <v>8388480</v>
      </c>
    </row>
    <row r="31" spans="1:7">
      <c r="A31">
        <v>25</v>
      </c>
      <c r="B31" s="1">
        <v>4</v>
      </c>
      <c r="C31" s="1">
        <v>3</v>
      </c>
      <c r="D31" s="1">
        <v>2</v>
      </c>
      <c r="E31" s="1">
        <v>2</v>
      </c>
      <c r="F31" s="1" t="s">
        <v>48</v>
      </c>
      <c r="G31">
        <f t="shared" si="1"/>
        <v>8388607</v>
      </c>
    </row>
    <row r="32" spans="1:7">
      <c r="A32">
        <v>26</v>
      </c>
      <c r="B32" s="1">
        <v>1</v>
      </c>
      <c r="C32" s="1">
        <v>1</v>
      </c>
      <c r="D32" s="1">
        <v>2</v>
      </c>
      <c r="E32" s="1">
        <v>1</v>
      </c>
      <c r="F32" s="1" t="s">
        <v>30</v>
      </c>
      <c r="G32">
        <f t="shared" si="1"/>
        <v>191</v>
      </c>
    </row>
    <row r="33" spans="1:7">
      <c r="A33">
        <v>27</v>
      </c>
      <c r="B33" s="1">
        <v>4</v>
      </c>
      <c r="C33" s="1">
        <v>4</v>
      </c>
      <c r="D33" s="1">
        <v>2</v>
      </c>
      <c r="E33" s="1">
        <v>1</v>
      </c>
      <c r="F33" s="1" t="s">
        <v>43</v>
      </c>
      <c r="G33">
        <f t="shared" si="1"/>
        <v>48960</v>
      </c>
    </row>
    <row r="34" spans="1:7">
      <c r="A34">
        <v>28</v>
      </c>
      <c r="B34" s="1">
        <v>2</v>
      </c>
      <c r="C34" s="1">
        <v>2</v>
      </c>
      <c r="D34" s="1">
        <v>2</v>
      </c>
      <c r="E34" s="1">
        <v>1</v>
      </c>
      <c r="F34" s="1" t="s">
        <v>33</v>
      </c>
      <c r="G34">
        <f t="shared" si="1"/>
        <v>12533760</v>
      </c>
    </row>
    <row r="35" spans="1:7">
      <c r="A35">
        <v>29</v>
      </c>
      <c r="B35" s="1">
        <v>2</v>
      </c>
      <c r="C35" s="1">
        <v>3</v>
      </c>
      <c r="D35" s="1">
        <v>2</v>
      </c>
      <c r="E35" s="1">
        <v>1</v>
      </c>
      <c r="F35" s="1" t="s">
        <v>37</v>
      </c>
      <c r="G35">
        <f t="shared" si="1"/>
        <v>12533823</v>
      </c>
    </row>
    <row r="36" spans="1:7">
      <c r="A36">
        <v>30</v>
      </c>
      <c r="B36" s="1">
        <v>3</v>
      </c>
      <c r="C36" s="1">
        <v>2</v>
      </c>
      <c r="D36" s="1">
        <v>2</v>
      </c>
      <c r="E36" s="1">
        <v>1</v>
      </c>
      <c r="F36" s="1" t="s">
        <v>34</v>
      </c>
      <c r="G36">
        <f t="shared" si="1"/>
        <v>12533887</v>
      </c>
    </row>
    <row r="37" spans="1:7">
      <c r="A37">
        <v>31</v>
      </c>
      <c r="B37" s="1">
        <v>3</v>
      </c>
      <c r="C37" s="1">
        <v>3</v>
      </c>
      <c r="D37" s="1">
        <v>2</v>
      </c>
      <c r="E37" s="1">
        <v>1</v>
      </c>
      <c r="F37" s="1" t="s">
        <v>38</v>
      </c>
      <c r="G37">
        <f t="shared" si="1"/>
        <v>12533951</v>
      </c>
    </row>
    <row r="38" spans="1:7">
      <c r="A38">
        <v>32</v>
      </c>
      <c r="B38" s="1">
        <v>1</v>
      </c>
      <c r="C38" s="1">
        <v>1</v>
      </c>
      <c r="D38" s="1">
        <v>2</v>
      </c>
      <c r="E38" s="1">
        <v>2</v>
      </c>
      <c r="F38" s="1" t="s">
        <v>21</v>
      </c>
      <c r="G38">
        <f t="shared" si="1"/>
        <v>255</v>
      </c>
    </row>
    <row r="39" spans="1:7">
      <c r="A39">
        <v>33</v>
      </c>
      <c r="B39" s="1">
        <v>4</v>
      </c>
      <c r="C39" s="1">
        <v>4</v>
      </c>
      <c r="D39" s="1">
        <v>2</v>
      </c>
      <c r="E39" s="1">
        <v>2</v>
      </c>
      <c r="F39" s="1" t="s">
        <v>24</v>
      </c>
      <c r="G39">
        <f t="shared" si="1"/>
        <v>65280</v>
      </c>
    </row>
    <row r="40" spans="1:7">
      <c r="A40">
        <v>34</v>
      </c>
      <c r="B40" s="1">
        <v>2</v>
      </c>
      <c r="C40" s="1">
        <v>2</v>
      </c>
      <c r="D40" s="1">
        <v>2</v>
      </c>
      <c r="E40" s="1">
        <v>2</v>
      </c>
      <c r="F40" s="1" t="s">
        <v>22</v>
      </c>
      <c r="G40">
        <f t="shared" si="1"/>
        <v>16711680</v>
      </c>
    </row>
    <row r="41" spans="1:7">
      <c r="A41">
        <v>35</v>
      </c>
      <c r="B41" s="1">
        <v>3</v>
      </c>
      <c r="C41" s="1">
        <v>2</v>
      </c>
      <c r="D41" s="1">
        <v>2</v>
      </c>
      <c r="E41" s="1">
        <v>2</v>
      </c>
      <c r="F41" s="1" t="s">
        <v>46</v>
      </c>
      <c r="G41">
        <f t="shared" si="1"/>
        <v>16711807</v>
      </c>
    </row>
    <row r="42" spans="1:7">
      <c r="A42">
        <v>36</v>
      </c>
      <c r="B42" s="1">
        <v>3</v>
      </c>
      <c r="C42" s="1">
        <v>3</v>
      </c>
      <c r="D42" s="1">
        <v>2</v>
      </c>
      <c r="E42" s="1">
        <v>2</v>
      </c>
      <c r="F42" s="1" t="s">
        <v>23</v>
      </c>
      <c r="G42">
        <f t="shared" si="1"/>
        <v>16711935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Sheet2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Palenicek</dc:creator>
  <cp:lastModifiedBy>Jan Palenicek</cp:lastModifiedBy>
  <dcterms:created xsi:type="dcterms:W3CDTF">2017-04-09T05:24:38Z</dcterms:created>
  <dcterms:modified xsi:type="dcterms:W3CDTF">2017-04-09T18:05:50Z</dcterms:modified>
</cp:coreProperties>
</file>