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93759e14282732/Documents/ImageJ/"/>
    </mc:Choice>
  </mc:AlternateContent>
  <bookViews>
    <workbookView xWindow="0" yWindow="0" windowWidth="28800" windowHeight="12210"/>
  </bookViews>
  <sheets>
    <sheet name="Sheet1" sheetId="1" r:id="rId1"/>
    <sheet name="Sheet8" sheetId="8" r:id="rId2"/>
    <sheet name="Sheet7" sheetId="7" r:id="rId3"/>
    <sheet name="Sheet3" sheetId="3" r:id="rId4"/>
    <sheet name="Sheet4" sheetId="4" r:id="rId5"/>
    <sheet name="Sheet5" sheetId="5" r:id="rId6"/>
    <sheet name="Sheet2" sheetId="2" r:id="rId7"/>
    <sheet name="Sheet6" sheetId="6" r:id="rId8"/>
  </sheets>
  <definedNames>
    <definedName name="_xlnm._FilterDatabase" localSheetId="0" hidden="1">Sheet1!$I$1:$Y$226</definedName>
    <definedName name="_xlnm._FilterDatabase" localSheetId="3" hidden="1">Sheet3!$A$1:$K$101</definedName>
    <definedName name="_xlnm._FilterDatabase" localSheetId="2" hidden="1">Sheet7!$A$1:$K$226</definedName>
  </definedNames>
  <calcPr calcId="162913"/>
  <pivotCaches>
    <pivotCache cacheId="7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" i="1"/>
  <c r="U3" i="8"/>
  <c r="U4" i="8" s="1"/>
  <c r="U5" i="8" s="1"/>
  <c r="U6" i="8" s="1"/>
  <c r="U7" i="8" s="1"/>
  <c r="U8" i="8" s="1"/>
  <c r="U9" i="8" s="1"/>
  <c r="U10" i="8" s="1"/>
  <c r="U11" i="8" s="1"/>
  <c r="U12" i="8" s="1"/>
  <c r="U13" i="8" s="1"/>
  <c r="U14" i="8" s="1"/>
  <c r="U15" i="8" s="1"/>
  <c r="U16" i="8" s="1"/>
  <c r="U17" i="8" s="1"/>
  <c r="U18" i="8" s="1"/>
  <c r="U19" i="8" s="1"/>
  <c r="U20" i="8" s="1"/>
  <c r="U21" i="8" s="1"/>
  <c r="U22" i="8" s="1"/>
  <c r="U23" i="8" s="1"/>
  <c r="U24" i="8" s="1"/>
  <c r="U25" i="8" s="1"/>
  <c r="U26" i="8" s="1"/>
  <c r="U27" i="8" s="1"/>
  <c r="U28" i="8" s="1"/>
  <c r="U29" i="8" s="1"/>
  <c r="U30" i="8" s="1"/>
  <c r="U31" i="8" s="1"/>
  <c r="U32" i="8" s="1"/>
  <c r="U33" i="8" s="1"/>
  <c r="U34" i="8" s="1"/>
  <c r="U35" i="8" s="1"/>
  <c r="U36" i="8" s="1"/>
  <c r="U37" i="8" s="1"/>
  <c r="U38" i="8" s="1"/>
  <c r="U39" i="8" s="1"/>
  <c r="S4" i="8"/>
  <c r="S5" i="8" s="1"/>
  <c r="S6" i="8" s="1"/>
  <c r="S7" i="8" s="1"/>
  <c r="S8" i="8" s="1"/>
  <c r="S9" i="8" s="1"/>
  <c r="S10" i="8" s="1"/>
  <c r="S11" i="8" s="1"/>
  <c r="S12" i="8" s="1"/>
  <c r="S13" i="8" s="1"/>
  <c r="S14" i="8" s="1"/>
  <c r="S15" i="8" s="1"/>
  <c r="S16" i="8" s="1"/>
  <c r="S17" i="8" s="1"/>
  <c r="S18" i="8" s="1"/>
  <c r="S19" i="8" s="1"/>
  <c r="S20" i="8" s="1"/>
  <c r="S21" i="8" s="1"/>
  <c r="S22" i="8" s="1"/>
  <c r="S23" i="8" s="1"/>
  <c r="S24" i="8" s="1"/>
  <c r="S25" i="8" s="1"/>
  <c r="S26" i="8" s="1"/>
  <c r="S27" i="8" s="1"/>
  <c r="S28" i="8" s="1"/>
  <c r="S29" i="8" s="1"/>
  <c r="S30" i="8" s="1"/>
  <c r="S31" i="8" s="1"/>
  <c r="S32" i="8" s="1"/>
  <c r="S33" i="8" s="1"/>
  <c r="S34" i="8" s="1"/>
  <c r="S35" i="8" s="1"/>
  <c r="S36" i="8" s="1"/>
  <c r="S37" i="8" s="1"/>
  <c r="S38" i="8" s="1"/>
  <c r="S39" i="8" s="1"/>
  <c r="T3" i="8"/>
  <c r="T4" i="8" s="1"/>
  <c r="T5" i="8" s="1"/>
  <c r="T6" i="8" s="1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T21" i="8" s="1"/>
  <c r="T22" i="8" s="1"/>
  <c r="T23" i="8" s="1"/>
  <c r="T24" i="8" s="1"/>
  <c r="T25" i="8" s="1"/>
  <c r="T26" i="8" s="1"/>
  <c r="T27" i="8" s="1"/>
  <c r="T28" i="8" s="1"/>
  <c r="T29" i="8" s="1"/>
  <c r="T30" i="8" s="1"/>
  <c r="T31" i="8" s="1"/>
  <c r="T32" i="8" s="1"/>
  <c r="T33" i="8" s="1"/>
  <c r="T34" i="8" s="1"/>
  <c r="T35" i="8" s="1"/>
  <c r="T36" i="8" s="1"/>
  <c r="T37" i="8" s="1"/>
  <c r="T38" i="8" s="1"/>
  <c r="T39" i="8" s="1"/>
  <c r="S3" i="8"/>
  <c r="R4" i="8"/>
  <c r="R5" i="8" s="1"/>
  <c r="R6" i="8" s="1"/>
  <c r="R7" i="8" s="1"/>
  <c r="R8" i="8" s="1"/>
  <c r="R9" i="8" s="1"/>
  <c r="R10" i="8" s="1"/>
  <c r="R11" i="8" s="1"/>
  <c r="R12" i="8" s="1"/>
  <c r="R13" i="8" s="1"/>
  <c r="R14" i="8" s="1"/>
  <c r="R15" i="8" s="1"/>
  <c r="R16" i="8" s="1"/>
  <c r="R17" i="8" s="1"/>
  <c r="R18" i="8" s="1"/>
  <c r="R19" i="8" s="1"/>
  <c r="R20" i="8" s="1"/>
  <c r="R21" i="8" s="1"/>
  <c r="R22" i="8" s="1"/>
  <c r="R23" i="8" s="1"/>
  <c r="R24" i="8" s="1"/>
  <c r="R25" i="8" s="1"/>
  <c r="R26" i="8" s="1"/>
  <c r="R27" i="8" s="1"/>
  <c r="R28" i="8" s="1"/>
  <c r="R29" i="8" s="1"/>
  <c r="R30" i="8" s="1"/>
  <c r="R31" i="8" s="1"/>
  <c r="R32" i="8" s="1"/>
  <c r="R33" i="8" s="1"/>
  <c r="R34" i="8" s="1"/>
  <c r="R35" i="8" s="1"/>
  <c r="R36" i="8" s="1"/>
  <c r="R37" i="8" s="1"/>
  <c r="R38" i="8" s="1"/>
  <c r="R39" i="8" s="1"/>
  <c r="R3" i="8"/>
  <c r="Q4" i="8"/>
  <c r="Q5" i="8" s="1"/>
  <c r="Q6" i="8" s="1"/>
  <c r="Q7" i="8" s="1"/>
  <c r="Q8" i="8" s="1"/>
  <c r="Q9" i="8" s="1"/>
  <c r="Q10" i="8" s="1"/>
  <c r="Q11" i="8" s="1"/>
  <c r="Q12" i="8" s="1"/>
  <c r="Q13" i="8" s="1"/>
  <c r="Q14" i="8" s="1"/>
  <c r="Q15" i="8" s="1"/>
  <c r="Q16" i="8" s="1"/>
  <c r="Q17" i="8" s="1"/>
  <c r="Q18" i="8" s="1"/>
  <c r="Q19" i="8" s="1"/>
  <c r="Q20" i="8" s="1"/>
  <c r="Q21" i="8" s="1"/>
  <c r="Q22" i="8" s="1"/>
  <c r="Q23" i="8" s="1"/>
  <c r="Q24" i="8" s="1"/>
  <c r="Q25" i="8" s="1"/>
  <c r="Q26" i="8" s="1"/>
  <c r="Q27" i="8" s="1"/>
  <c r="Q28" i="8" s="1"/>
  <c r="Q29" i="8" s="1"/>
  <c r="Q30" i="8" s="1"/>
  <c r="Q31" i="8" s="1"/>
  <c r="Q32" i="8" s="1"/>
  <c r="Q33" i="8" s="1"/>
  <c r="Q34" i="8" s="1"/>
  <c r="Q35" i="8" s="1"/>
  <c r="Q36" i="8" s="1"/>
  <c r="Q37" i="8" s="1"/>
  <c r="Q38" i="8" s="1"/>
  <c r="Q39" i="8" s="1"/>
  <c r="Q3" i="8"/>
  <c r="N3" i="1"/>
  <c r="O3" i="1"/>
  <c r="P3" i="1"/>
  <c r="Q3" i="1"/>
  <c r="R3" i="1"/>
  <c r="S3" i="1"/>
  <c r="N4" i="1"/>
  <c r="O4" i="1"/>
  <c r="P4" i="1"/>
  <c r="Q4" i="1"/>
  <c r="R4" i="1"/>
  <c r="S4" i="1"/>
  <c r="N5" i="1"/>
  <c r="O5" i="1"/>
  <c r="P5" i="1"/>
  <c r="Q5" i="1"/>
  <c r="R5" i="1"/>
  <c r="S5" i="1"/>
  <c r="N6" i="1"/>
  <c r="O6" i="1"/>
  <c r="P6" i="1"/>
  <c r="Q6" i="1"/>
  <c r="R6" i="1"/>
  <c r="S6" i="1"/>
  <c r="N7" i="1"/>
  <c r="O7" i="1"/>
  <c r="P7" i="1"/>
  <c r="Q7" i="1"/>
  <c r="R7" i="1"/>
  <c r="S7" i="1"/>
  <c r="N8" i="1"/>
  <c r="O8" i="1"/>
  <c r="P8" i="1"/>
  <c r="Q8" i="1"/>
  <c r="R8" i="1"/>
  <c r="S8" i="1"/>
  <c r="N9" i="1"/>
  <c r="O9" i="1"/>
  <c r="P9" i="1"/>
  <c r="Q9" i="1"/>
  <c r="R9" i="1"/>
  <c r="S9" i="1"/>
  <c r="N10" i="1"/>
  <c r="T10" i="1" s="1"/>
  <c r="O10" i="1"/>
  <c r="P10" i="1"/>
  <c r="Q10" i="1"/>
  <c r="R10" i="1"/>
  <c r="S10" i="1"/>
  <c r="N11" i="1"/>
  <c r="O11" i="1"/>
  <c r="P11" i="1"/>
  <c r="Q11" i="1"/>
  <c r="R11" i="1"/>
  <c r="S11" i="1"/>
  <c r="N12" i="1"/>
  <c r="O12" i="1"/>
  <c r="P12" i="1"/>
  <c r="Q12" i="1"/>
  <c r="R12" i="1"/>
  <c r="S12" i="1"/>
  <c r="N13" i="1"/>
  <c r="O13" i="1"/>
  <c r="P13" i="1"/>
  <c r="Q13" i="1"/>
  <c r="R13" i="1"/>
  <c r="S13" i="1"/>
  <c r="N14" i="1"/>
  <c r="O14" i="1"/>
  <c r="P14" i="1"/>
  <c r="Q14" i="1"/>
  <c r="R14" i="1"/>
  <c r="S14" i="1"/>
  <c r="N15" i="1"/>
  <c r="O15" i="1"/>
  <c r="P15" i="1"/>
  <c r="Q15" i="1"/>
  <c r="R15" i="1"/>
  <c r="S15" i="1"/>
  <c r="N16" i="1"/>
  <c r="O16" i="1"/>
  <c r="P16" i="1"/>
  <c r="Q16" i="1"/>
  <c r="R16" i="1"/>
  <c r="S16" i="1"/>
  <c r="N17" i="1"/>
  <c r="O17" i="1"/>
  <c r="P17" i="1"/>
  <c r="Q17" i="1"/>
  <c r="R17" i="1"/>
  <c r="S17" i="1"/>
  <c r="N18" i="1"/>
  <c r="O18" i="1"/>
  <c r="P18" i="1"/>
  <c r="Q18" i="1"/>
  <c r="R18" i="1"/>
  <c r="S18" i="1"/>
  <c r="N19" i="1"/>
  <c r="O19" i="1"/>
  <c r="P19" i="1"/>
  <c r="V19" i="1" s="1"/>
  <c r="Q19" i="1"/>
  <c r="R19" i="1"/>
  <c r="S19" i="1"/>
  <c r="N20" i="1"/>
  <c r="O20" i="1"/>
  <c r="P20" i="1"/>
  <c r="Q20" i="1"/>
  <c r="R20" i="1"/>
  <c r="S20" i="1"/>
  <c r="N21" i="1"/>
  <c r="O21" i="1"/>
  <c r="P21" i="1"/>
  <c r="Q21" i="1"/>
  <c r="R21" i="1"/>
  <c r="S21" i="1"/>
  <c r="N22" i="1"/>
  <c r="O22" i="1"/>
  <c r="P22" i="1"/>
  <c r="Q22" i="1"/>
  <c r="R22" i="1"/>
  <c r="S22" i="1"/>
  <c r="N23" i="1"/>
  <c r="O23" i="1"/>
  <c r="P23" i="1"/>
  <c r="Q23" i="1"/>
  <c r="R23" i="1"/>
  <c r="S23" i="1"/>
  <c r="N24" i="1"/>
  <c r="O24" i="1"/>
  <c r="P24" i="1"/>
  <c r="Q24" i="1"/>
  <c r="R24" i="1"/>
  <c r="S24" i="1"/>
  <c r="N25" i="1"/>
  <c r="O25" i="1"/>
  <c r="P25" i="1"/>
  <c r="Q25" i="1"/>
  <c r="R25" i="1"/>
  <c r="S25" i="1"/>
  <c r="N26" i="1"/>
  <c r="O26" i="1"/>
  <c r="P26" i="1"/>
  <c r="Q26" i="1"/>
  <c r="R26" i="1"/>
  <c r="S26" i="1"/>
  <c r="N27" i="1"/>
  <c r="O27" i="1"/>
  <c r="P27" i="1"/>
  <c r="Q27" i="1"/>
  <c r="R27" i="1"/>
  <c r="S27" i="1"/>
  <c r="N51" i="1"/>
  <c r="T51" i="1" s="1"/>
  <c r="O51" i="1"/>
  <c r="P51" i="1"/>
  <c r="Q51" i="1"/>
  <c r="R51" i="1"/>
  <c r="S51" i="1"/>
  <c r="N115" i="1"/>
  <c r="O115" i="1"/>
  <c r="P115" i="1"/>
  <c r="V115" i="1" s="1"/>
  <c r="Q115" i="1"/>
  <c r="R115" i="1"/>
  <c r="S115" i="1"/>
  <c r="N155" i="1"/>
  <c r="O155" i="1"/>
  <c r="P155" i="1"/>
  <c r="Q155" i="1"/>
  <c r="R155" i="1"/>
  <c r="S155" i="1"/>
  <c r="N83" i="1"/>
  <c r="O83" i="1"/>
  <c r="P83" i="1"/>
  <c r="Q83" i="1"/>
  <c r="R83" i="1"/>
  <c r="S83" i="1"/>
  <c r="N28" i="1"/>
  <c r="O28" i="1"/>
  <c r="P28" i="1"/>
  <c r="Q28" i="1"/>
  <c r="R28" i="1"/>
  <c r="S28" i="1"/>
  <c r="N52" i="1"/>
  <c r="O52" i="1"/>
  <c r="P52" i="1"/>
  <c r="Q52" i="1"/>
  <c r="R52" i="1"/>
  <c r="S52" i="1"/>
  <c r="N116" i="1"/>
  <c r="O116" i="1"/>
  <c r="P116" i="1"/>
  <c r="Q116" i="1"/>
  <c r="R116" i="1"/>
  <c r="S116" i="1"/>
  <c r="N156" i="1"/>
  <c r="O156" i="1"/>
  <c r="P156" i="1"/>
  <c r="Q156" i="1"/>
  <c r="R156" i="1"/>
  <c r="S156" i="1"/>
  <c r="N84" i="1"/>
  <c r="O84" i="1"/>
  <c r="P84" i="1"/>
  <c r="Q84" i="1"/>
  <c r="R84" i="1"/>
  <c r="S84" i="1"/>
  <c r="N29" i="1"/>
  <c r="O29" i="1"/>
  <c r="P29" i="1"/>
  <c r="Q29" i="1"/>
  <c r="R29" i="1"/>
  <c r="S29" i="1"/>
  <c r="N53" i="1"/>
  <c r="O53" i="1"/>
  <c r="P53" i="1"/>
  <c r="Q53" i="1"/>
  <c r="R53" i="1"/>
  <c r="S53" i="1"/>
  <c r="N117" i="1"/>
  <c r="O117" i="1"/>
  <c r="P117" i="1"/>
  <c r="V117" i="1" s="1"/>
  <c r="Q117" i="1"/>
  <c r="R117" i="1"/>
  <c r="S117" i="1"/>
  <c r="N157" i="1"/>
  <c r="O157" i="1"/>
  <c r="P157" i="1"/>
  <c r="Q157" i="1"/>
  <c r="R157" i="1"/>
  <c r="S157" i="1"/>
  <c r="N85" i="1"/>
  <c r="O85" i="1"/>
  <c r="P85" i="1"/>
  <c r="Q85" i="1"/>
  <c r="R85" i="1"/>
  <c r="S85" i="1"/>
  <c r="N30" i="1"/>
  <c r="T30" i="1" s="1"/>
  <c r="O30" i="1"/>
  <c r="P30" i="1"/>
  <c r="Q30" i="1"/>
  <c r="R30" i="1"/>
  <c r="S30" i="1"/>
  <c r="N54" i="1"/>
  <c r="O54" i="1"/>
  <c r="P54" i="1"/>
  <c r="Q54" i="1"/>
  <c r="R54" i="1"/>
  <c r="S54" i="1"/>
  <c r="N118" i="1"/>
  <c r="O118" i="1"/>
  <c r="P118" i="1"/>
  <c r="Q118" i="1"/>
  <c r="R118" i="1"/>
  <c r="S118" i="1"/>
  <c r="N158" i="1"/>
  <c r="O158" i="1"/>
  <c r="P158" i="1"/>
  <c r="Q158" i="1"/>
  <c r="R158" i="1"/>
  <c r="S158" i="1"/>
  <c r="N86" i="1"/>
  <c r="O86" i="1"/>
  <c r="P86" i="1"/>
  <c r="Q86" i="1"/>
  <c r="R86" i="1"/>
  <c r="S86" i="1"/>
  <c r="N31" i="1"/>
  <c r="O31" i="1"/>
  <c r="P31" i="1"/>
  <c r="Q31" i="1"/>
  <c r="R31" i="1"/>
  <c r="S31" i="1"/>
  <c r="N55" i="1"/>
  <c r="O55" i="1"/>
  <c r="P55" i="1"/>
  <c r="Q55" i="1"/>
  <c r="R55" i="1"/>
  <c r="S55" i="1"/>
  <c r="N119" i="1"/>
  <c r="O119" i="1"/>
  <c r="P119" i="1"/>
  <c r="V119" i="1" s="1"/>
  <c r="Q119" i="1"/>
  <c r="R119" i="1"/>
  <c r="S119" i="1"/>
  <c r="N159" i="1"/>
  <c r="O159" i="1"/>
  <c r="P159" i="1"/>
  <c r="Q159" i="1"/>
  <c r="R159" i="1"/>
  <c r="S159" i="1"/>
  <c r="N87" i="1"/>
  <c r="O87" i="1"/>
  <c r="P87" i="1"/>
  <c r="Q87" i="1"/>
  <c r="R87" i="1"/>
  <c r="S87" i="1"/>
  <c r="N32" i="1"/>
  <c r="O32" i="1"/>
  <c r="P32" i="1"/>
  <c r="Q32" i="1"/>
  <c r="R32" i="1"/>
  <c r="S32" i="1"/>
  <c r="N65" i="1"/>
  <c r="O65" i="1"/>
  <c r="P65" i="1"/>
  <c r="Q65" i="1"/>
  <c r="R65" i="1"/>
  <c r="S65" i="1"/>
  <c r="N133" i="1"/>
  <c r="O133" i="1"/>
  <c r="P133" i="1"/>
  <c r="Q133" i="1"/>
  <c r="R133" i="1"/>
  <c r="S133" i="1"/>
  <c r="N185" i="1"/>
  <c r="O185" i="1"/>
  <c r="P185" i="1"/>
  <c r="Q185" i="1"/>
  <c r="R185" i="1"/>
  <c r="S185" i="1"/>
  <c r="N97" i="1"/>
  <c r="O97" i="1"/>
  <c r="P97" i="1"/>
  <c r="Q97" i="1"/>
  <c r="R97" i="1"/>
  <c r="S97" i="1"/>
  <c r="N33" i="1"/>
  <c r="O33" i="1"/>
  <c r="P33" i="1"/>
  <c r="Q33" i="1"/>
  <c r="R33" i="1"/>
  <c r="S33" i="1"/>
  <c r="N66" i="1"/>
  <c r="O66" i="1"/>
  <c r="P66" i="1"/>
  <c r="Q66" i="1"/>
  <c r="R66" i="1"/>
  <c r="S66" i="1"/>
  <c r="N134" i="1"/>
  <c r="O134" i="1"/>
  <c r="P134" i="1"/>
  <c r="V134" i="1" s="1"/>
  <c r="Q134" i="1"/>
  <c r="R134" i="1"/>
  <c r="S134" i="1"/>
  <c r="N186" i="1"/>
  <c r="T186" i="1" s="1"/>
  <c r="O186" i="1"/>
  <c r="P186" i="1"/>
  <c r="Q186" i="1"/>
  <c r="R186" i="1"/>
  <c r="S186" i="1"/>
  <c r="N98" i="1"/>
  <c r="O98" i="1"/>
  <c r="P98" i="1"/>
  <c r="Q98" i="1"/>
  <c r="R98" i="1"/>
  <c r="S98" i="1"/>
  <c r="N34" i="1"/>
  <c r="O34" i="1"/>
  <c r="P34" i="1"/>
  <c r="Q34" i="1"/>
  <c r="R34" i="1"/>
  <c r="S34" i="1"/>
  <c r="N67" i="1"/>
  <c r="O67" i="1"/>
  <c r="P67" i="1"/>
  <c r="Q67" i="1"/>
  <c r="R67" i="1"/>
  <c r="S67" i="1"/>
  <c r="N135" i="1"/>
  <c r="O135" i="1"/>
  <c r="P135" i="1"/>
  <c r="Q135" i="1"/>
  <c r="R135" i="1"/>
  <c r="S135" i="1"/>
  <c r="N187" i="1"/>
  <c r="O187" i="1"/>
  <c r="P187" i="1"/>
  <c r="Q187" i="1"/>
  <c r="R187" i="1"/>
  <c r="S187" i="1"/>
  <c r="N99" i="1"/>
  <c r="O99" i="1"/>
  <c r="P99" i="1"/>
  <c r="Q99" i="1"/>
  <c r="R99" i="1"/>
  <c r="S99" i="1"/>
  <c r="N35" i="1"/>
  <c r="O35" i="1"/>
  <c r="P35" i="1"/>
  <c r="V35" i="1" s="1"/>
  <c r="Q35" i="1"/>
  <c r="R35" i="1"/>
  <c r="S35" i="1"/>
  <c r="N68" i="1"/>
  <c r="O68" i="1"/>
  <c r="P68" i="1"/>
  <c r="Q68" i="1"/>
  <c r="R68" i="1"/>
  <c r="S68" i="1"/>
  <c r="N136" i="1"/>
  <c r="O136" i="1"/>
  <c r="P136" i="1"/>
  <c r="Q136" i="1"/>
  <c r="R136" i="1"/>
  <c r="S136" i="1"/>
  <c r="N188" i="1"/>
  <c r="O188" i="1"/>
  <c r="P188" i="1"/>
  <c r="Q188" i="1"/>
  <c r="R188" i="1"/>
  <c r="S188" i="1"/>
  <c r="N100" i="1"/>
  <c r="O100" i="1"/>
  <c r="P100" i="1"/>
  <c r="Q100" i="1"/>
  <c r="R100" i="1"/>
  <c r="S100" i="1"/>
  <c r="N36" i="1"/>
  <c r="O36" i="1"/>
  <c r="P36" i="1"/>
  <c r="Q36" i="1"/>
  <c r="R36" i="1"/>
  <c r="S36" i="1"/>
  <c r="N69" i="1"/>
  <c r="O69" i="1"/>
  <c r="P69" i="1"/>
  <c r="Q69" i="1"/>
  <c r="R69" i="1"/>
  <c r="S69" i="1"/>
  <c r="N137" i="1"/>
  <c r="T137" i="1" s="1"/>
  <c r="O137" i="1"/>
  <c r="P137" i="1"/>
  <c r="Q137" i="1"/>
  <c r="R137" i="1"/>
  <c r="S137" i="1"/>
  <c r="N189" i="1"/>
  <c r="O189" i="1"/>
  <c r="P189" i="1"/>
  <c r="V189" i="1" s="1"/>
  <c r="Q189" i="1"/>
  <c r="R189" i="1"/>
  <c r="S189" i="1"/>
  <c r="N101" i="1"/>
  <c r="O101" i="1"/>
  <c r="P101" i="1"/>
  <c r="Q101" i="1"/>
  <c r="R101" i="1"/>
  <c r="S101" i="1"/>
  <c r="N37" i="1"/>
  <c r="O37" i="1"/>
  <c r="P37" i="1"/>
  <c r="Q37" i="1"/>
  <c r="R37" i="1"/>
  <c r="S37" i="1"/>
  <c r="N38" i="1"/>
  <c r="O38" i="1"/>
  <c r="P38" i="1"/>
  <c r="Q38" i="1"/>
  <c r="R38" i="1"/>
  <c r="S38" i="1"/>
  <c r="N39" i="1"/>
  <c r="O39" i="1"/>
  <c r="P39" i="1"/>
  <c r="Q39" i="1"/>
  <c r="R39" i="1"/>
  <c r="S39" i="1"/>
  <c r="N40" i="1"/>
  <c r="O40" i="1"/>
  <c r="P40" i="1"/>
  <c r="Q40" i="1"/>
  <c r="R40" i="1"/>
  <c r="S40" i="1"/>
  <c r="N41" i="1"/>
  <c r="O41" i="1"/>
  <c r="P41" i="1"/>
  <c r="Q41" i="1"/>
  <c r="R41" i="1"/>
  <c r="S41" i="1"/>
  <c r="N56" i="1"/>
  <c r="O56" i="1"/>
  <c r="P56" i="1"/>
  <c r="Q56" i="1"/>
  <c r="R56" i="1"/>
  <c r="S56" i="1"/>
  <c r="N57" i="1"/>
  <c r="O57" i="1"/>
  <c r="P57" i="1"/>
  <c r="Q57" i="1"/>
  <c r="R57" i="1"/>
  <c r="S57" i="1"/>
  <c r="N58" i="1"/>
  <c r="O58" i="1"/>
  <c r="P58" i="1"/>
  <c r="Q58" i="1"/>
  <c r="R58" i="1"/>
  <c r="S58" i="1"/>
  <c r="N59" i="1"/>
  <c r="O59" i="1"/>
  <c r="P59" i="1"/>
  <c r="Q59" i="1"/>
  <c r="R59" i="1"/>
  <c r="S59" i="1"/>
  <c r="N60" i="1"/>
  <c r="T60" i="1" s="1"/>
  <c r="O60" i="1"/>
  <c r="P60" i="1"/>
  <c r="Q60" i="1"/>
  <c r="R60" i="1"/>
  <c r="S60" i="1"/>
  <c r="N120" i="1"/>
  <c r="O120" i="1"/>
  <c r="P120" i="1"/>
  <c r="V120" i="1" s="1"/>
  <c r="Q120" i="1"/>
  <c r="R120" i="1"/>
  <c r="S120" i="1"/>
  <c r="N121" i="1"/>
  <c r="O121" i="1"/>
  <c r="P121" i="1"/>
  <c r="Q121" i="1"/>
  <c r="R121" i="1"/>
  <c r="S121" i="1"/>
  <c r="N122" i="1"/>
  <c r="O122" i="1"/>
  <c r="P122" i="1"/>
  <c r="Q122" i="1"/>
  <c r="R122" i="1"/>
  <c r="S122" i="1"/>
  <c r="N123" i="1"/>
  <c r="O123" i="1"/>
  <c r="P123" i="1"/>
  <c r="Q123" i="1"/>
  <c r="R123" i="1"/>
  <c r="S123" i="1"/>
  <c r="N124" i="1"/>
  <c r="O124" i="1"/>
  <c r="P124" i="1"/>
  <c r="Q124" i="1"/>
  <c r="R124" i="1"/>
  <c r="S124" i="1"/>
  <c r="N160" i="1"/>
  <c r="O160" i="1"/>
  <c r="P160" i="1"/>
  <c r="Q160" i="1"/>
  <c r="R160" i="1"/>
  <c r="S160" i="1"/>
  <c r="N161" i="1"/>
  <c r="O161" i="1"/>
  <c r="P161" i="1"/>
  <c r="Q161" i="1"/>
  <c r="R161" i="1"/>
  <c r="S161" i="1"/>
  <c r="N162" i="1"/>
  <c r="O162" i="1"/>
  <c r="P162" i="1"/>
  <c r="Q162" i="1"/>
  <c r="R162" i="1"/>
  <c r="S162" i="1"/>
  <c r="N163" i="1"/>
  <c r="O163" i="1"/>
  <c r="P163" i="1"/>
  <c r="Q163" i="1"/>
  <c r="R163" i="1"/>
  <c r="S163" i="1"/>
  <c r="N164" i="1"/>
  <c r="O164" i="1"/>
  <c r="P164" i="1"/>
  <c r="Q164" i="1"/>
  <c r="R164" i="1"/>
  <c r="S164" i="1"/>
  <c r="N88" i="1"/>
  <c r="O88" i="1"/>
  <c r="P88" i="1"/>
  <c r="V88" i="1" s="1"/>
  <c r="Q88" i="1"/>
  <c r="T88" i="1" s="1"/>
  <c r="R88" i="1"/>
  <c r="S88" i="1"/>
  <c r="N89" i="1"/>
  <c r="O89" i="1"/>
  <c r="P89" i="1"/>
  <c r="Q89" i="1"/>
  <c r="R89" i="1"/>
  <c r="S89" i="1"/>
  <c r="N90" i="1"/>
  <c r="O90" i="1"/>
  <c r="P90" i="1"/>
  <c r="Q90" i="1"/>
  <c r="R90" i="1"/>
  <c r="S90" i="1"/>
  <c r="N91" i="1"/>
  <c r="O91" i="1"/>
  <c r="P91" i="1"/>
  <c r="Q91" i="1"/>
  <c r="R91" i="1"/>
  <c r="S91" i="1"/>
  <c r="N92" i="1"/>
  <c r="O92" i="1"/>
  <c r="P92" i="1"/>
  <c r="Q92" i="1"/>
  <c r="R92" i="1"/>
  <c r="S92" i="1"/>
  <c r="N42" i="1"/>
  <c r="O42" i="1"/>
  <c r="P42" i="1"/>
  <c r="Q42" i="1"/>
  <c r="R42" i="1"/>
  <c r="S42" i="1"/>
  <c r="N61" i="1"/>
  <c r="O61" i="1"/>
  <c r="P61" i="1"/>
  <c r="Q61" i="1"/>
  <c r="R61" i="1"/>
  <c r="S61" i="1"/>
  <c r="N125" i="1"/>
  <c r="O125" i="1"/>
  <c r="P125" i="1"/>
  <c r="Q125" i="1"/>
  <c r="R125" i="1"/>
  <c r="S125" i="1"/>
  <c r="N165" i="1"/>
  <c r="O165" i="1"/>
  <c r="P165" i="1"/>
  <c r="V165" i="1" s="1"/>
  <c r="Q165" i="1"/>
  <c r="R165" i="1"/>
  <c r="S165" i="1"/>
  <c r="N93" i="1"/>
  <c r="O93" i="1"/>
  <c r="P93" i="1"/>
  <c r="Q93" i="1"/>
  <c r="R93" i="1"/>
  <c r="S93" i="1"/>
  <c r="N62" i="1"/>
  <c r="O62" i="1"/>
  <c r="P62" i="1"/>
  <c r="Q62" i="1"/>
  <c r="R62" i="1"/>
  <c r="S62" i="1"/>
  <c r="N70" i="1"/>
  <c r="O70" i="1"/>
  <c r="P70" i="1"/>
  <c r="Q70" i="1"/>
  <c r="R70" i="1"/>
  <c r="S70" i="1"/>
  <c r="N166" i="1"/>
  <c r="O166" i="1"/>
  <c r="P166" i="1"/>
  <c r="Q166" i="1"/>
  <c r="R166" i="1"/>
  <c r="S166" i="1"/>
  <c r="N171" i="1"/>
  <c r="O171" i="1"/>
  <c r="P171" i="1"/>
  <c r="Q171" i="1"/>
  <c r="R171" i="1"/>
  <c r="S171" i="1"/>
  <c r="N129" i="1"/>
  <c r="O129" i="1"/>
  <c r="P129" i="1"/>
  <c r="Q129" i="1"/>
  <c r="R129" i="1"/>
  <c r="S129" i="1"/>
  <c r="N126" i="1"/>
  <c r="T126" i="1" s="1"/>
  <c r="O126" i="1"/>
  <c r="P126" i="1"/>
  <c r="Q126" i="1"/>
  <c r="R126" i="1"/>
  <c r="S126" i="1"/>
  <c r="N167" i="1"/>
  <c r="O167" i="1"/>
  <c r="P167" i="1"/>
  <c r="Q167" i="1"/>
  <c r="R167" i="1"/>
  <c r="S167" i="1"/>
  <c r="N138" i="1"/>
  <c r="O138" i="1"/>
  <c r="P138" i="1"/>
  <c r="Q138" i="1"/>
  <c r="R138" i="1"/>
  <c r="S138" i="1"/>
  <c r="N181" i="1"/>
  <c r="O181" i="1"/>
  <c r="P181" i="1"/>
  <c r="V181" i="1" s="1"/>
  <c r="Q181" i="1"/>
  <c r="R181" i="1"/>
  <c r="S181" i="1"/>
  <c r="N177" i="1"/>
  <c r="O177" i="1"/>
  <c r="P177" i="1"/>
  <c r="Q177" i="1"/>
  <c r="R177" i="1"/>
  <c r="S177" i="1"/>
  <c r="N168" i="1"/>
  <c r="O168" i="1"/>
  <c r="P168" i="1"/>
  <c r="Q168" i="1"/>
  <c r="R168" i="1"/>
  <c r="S168" i="1"/>
  <c r="N172" i="1"/>
  <c r="O172" i="1"/>
  <c r="P172" i="1"/>
  <c r="Q172" i="1"/>
  <c r="R172" i="1"/>
  <c r="S172" i="1"/>
  <c r="N182" i="1"/>
  <c r="O182" i="1"/>
  <c r="P182" i="1"/>
  <c r="Q182" i="1"/>
  <c r="R182" i="1"/>
  <c r="S182" i="1"/>
  <c r="N190" i="1"/>
  <c r="O190" i="1"/>
  <c r="P190" i="1"/>
  <c r="Q190" i="1"/>
  <c r="R190" i="1"/>
  <c r="S190" i="1"/>
  <c r="N219" i="1"/>
  <c r="O219" i="1"/>
  <c r="P219" i="1"/>
  <c r="Q219" i="1"/>
  <c r="R219" i="1"/>
  <c r="S219" i="1"/>
  <c r="N94" i="1"/>
  <c r="O94" i="1"/>
  <c r="P94" i="1"/>
  <c r="Q94" i="1"/>
  <c r="R94" i="1"/>
  <c r="S94" i="1"/>
  <c r="N130" i="1"/>
  <c r="O130" i="1"/>
  <c r="P130" i="1"/>
  <c r="Q130" i="1"/>
  <c r="R130" i="1"/>
  <c r="S130" i="1"/>
  <c r="N178" i="1"/>
  <c r="T178" i="1" s="1"/>
  <c r="O178" i="1"/>
  <c r="P178" i="1"/>
  <c r="Q178" i="1"/>
  <c r="R178" i="1"/>
  <c r="S178" i="1"/>
  <c r="N220" i="1"/>
  <c r="O220" i="1"/>
  <c r="P220" i="1"/>
  <c r="V220" i="1" s="1"/>
  <c r="Q220" i="1"/>
  <c r="R220" i="1"/>
  <c r="S220" i="1"/>
  <c r="N102" i="1"/>
  <c r="O102" i="1"/>
  <c r="P102" i="1"/>
  <c r="Q102" i="1"/>
  <c r="R102" i="1"/>
  <c r="S102" i="1"/>
  <c r="N43" i="1"/>
  <c r="O43" i="1"/>
  <c r="P43" i="1"/>
  <c r="Q43" i="1"/>
  <c r="R43" i="1"/>
  <c r="S43" i="1"/>
  <c r="N71" i="1"/>
  <c r="O71" i="1"/>
  <c r="P71" i="1"/>
  <c r="Q71" i="1"/>
  <c r="R71" i="1"/>
  <c r="S71" i="1"/>
  <c r="N139" i="1"/>
  <c r="O139" i="1"/>
  <c r="P139" i="1"/>
  <c r="Q139" i="1"/>
  <c r="R139" i="1"/>
  <c r="S139" i="1"/>
  <c r="N191" i="1"/>
  <c r="O191" i="1"/>
  <c r="P191" i="1"/>
  <c r="Q191" i="1"/>
  <c r="R191" i="1"/>
  <c r="S191" i="1"/>
  <c r="N103" i="1"/>
  <c r="O103" i="1"/>
  <c r="P103" i="1"/>
  <c r="Q103" i="1"/>
  <c r="R103" i="1"/>
  <c r="S103" i="1"/>
  <c r="N63" i="1"/>
  <c r="O63" i="1"/>
  <c r="P63" i="1"/>
  <c r="Q63" i="1"/>
  <c r="R63" i="1"/>
  <c r="S63" i="1"/>
  <c r="N80" i="1"/>
  <c r="O80" i="1"/>
  <c r="P80" i="1"/>
  <c r="Q80" i="1"/>
  <c r="R80" i="1"/>
  <c r="S80" i="1"/>
  <c r="N183" i="1"/>
  <c r="O183" i="1"/>
  <c r="P183" i="1"/>
  <c r="Q183" i="1"/>
  <c r="R183" i="1"/>
  <c r="S183" i="1"/>
  <c r="N202" i="1"/>
  <c r="O202" i="1"/>
  <c r="P202" i="1"/>
  <c r="Q202" i="1"/>
  <c r="R202" i="1"/>
  <c r="S202" i="1"/>
  <c r="N148" i="1"/>
  <c r="T148" i="1" s="1"/>
  <c r="O148" i="1"/>
  <c r="P148" i="1"/>
  <c r="Q148" i="1"/>
  <c r="R148" i="1"/>
  <c r="S148" i="1"/>
  <c r="N127" i="1"/>
  <c r="O127" i="1"/>
  <c r="P127" i="1"/>
  <c r="Q127" i="1"/>
  <c r="R127" i="1"/>
  <c r="S127" i="1"/>
  <c r="N173" i="1"/>
  <c r="O173" i="1"/>
  <c r="P173" i="1"/>
  <c r="Q173" i="1"/>
  <c r="R173" i="1"/>
  <c r="S173" i="1"/>
  <c r="N152" i="1"/>
  <c r="O152" i="1"/>
  <c r="P152" i="1"/>
  <c r="Q152" i="1"/>
  <c r="R152" i="1"/>
  <c r="S152" i="1"/>
  <c r="N212" i="1"/>
  <c r="O212" i="1"/>
  <c r="P212" i="1"/>
  <c r="Q212" i="1"/>
  <c r="R212" i="1"/>
  <c r="S212" i="1"/>
  <c r="N179" i="1"/>
  <c r="O179" i="1"/>
  <c r="P179" i="1"/>
  <c r="V179" i="1" s="1"/>
  <c r="Q179" i="1"/>
  <c r="R179" i="1"/>
  <c r="S179" i="1"/>
  <c r="N169" i="1"/>
  <c r="O169" i="1"/>
  <c r="P169" i="1"/>
  <c r="Q169" i="1"/>
  <c r="R169" i="1"/>
  <c r="S169" i="1"/>
  <c r="N175" i="1"/>
  <c r="O175" i="1"/>
  <c r="P175" i="1"/>
  <c r="Q175" i="1"/>
  <c r="R175" i="1"/>
  <c r="S175" i="1"/>
  <c r="N210" i="1"/>
  <c r="O210" i="1"/>
  <c r="P210" i="1"/>
  <c r="Q210" i="1"/>
  <c r="R210" i="1"/>
  <c r="S210" i="1"/>
  <c r="N214" i="1"/>
  <c r="O214" i="1"/>
  <c r="P214" i="1"/>
  <c r="Q214" i="1"/>
  <c r="R214" i="1"/>
  <c r="S214" i="1"/>
  <c r="N221" i="1"/>
  <c r="O221" i="1"/>
  <c r="P221" i="1"/>
  <c r="Q221" i="1"/>
  <c r="R221" i="1"/>
  <c r="S221" i="1"/>
  <c r="N95" i="1"/>
  <c r="O95" i="1"/>
  <c r="P95" i="1"/>
  <c r="Q95" i="1"/>
  <c r="R95" i="1"/>
  <c r="S95" i="1"/>
  <c r="N131" i="1"/>
  <c r="O131" i="1"/>
  <c r="P131" i="1"/>
  <c r="Q131" i="1"/>
  <c r="R131" i="1"/>
  <c r="S131" i="1"/>
  <c r="N206" i="1"/>
  <c r="O206" i="1"/>
  <c r="P206" i="1"/>
  <c r="Q206" i="1"/>
  <c r="R206" i="1"/>
  <c r="S206" i="1"/>
  <c r="N223" i="1"/>
  <c r="O223" i="1"/>
  <c r="P223" i="1"/>
  <c r="Q223" i="1"/>
  <c r="R223" i="1"/>
  <c r="S223" i="1"/>
  <c r="N112" i="1"/>
  <c r="O112" i="1"/>
  <c r="P112" i="1"/>
  <c r="Q112" i="1"/>
  <c r="R112" i="1"/>
  <c r="S112" i="1"/>
  <c r="N44" i="1"/>
  <c r="T44" i="1" s="1"/>
  <c r="O44" i="1"/>
  <c r="P44" i="1"/>
  <c r="Q44" i="1"/>
  <c r="R44" i="1"/>
  <c r="S44" i="1"/>
  <c r="N45" i="1"/>
  <c r="O45" i="1"/>
  <c r="P45" i="1"/>
  <c r="V45" i="1" s="1"/>
  <c r="Q45" i="1"/>
  <c r="R45" i="1"/>
  <c r="S45" i="1"/>
  <c r="N46" i="1"/>
  <c r="O46" i="1"/>
  <c r="P46" i="1"/>
  <c r="Q46" i="1"/>
  <c r="R46" i="1"/>
  <c r="S46" i="1"/>
  <c r="N47" i="1"/>
  <c r="O47" i="1"/>
  <c r="P47" i="1"/>
  <c r="Q47" i="1"/>
  <c r="R47" i="1"/>
  <c r="S47" i="1"/>
  <c r="N48" i="1"/>
  <c r="O48" i="1"/>
  <c r="P48" i="1"/>
  <c r="Q48" i="1"/>
  <c r="R48" i="1"/>
  <c r="S48" i="1"/>
  <c r="N72" i="1"/>
  <c r="O72" i="1"/>
  <c r="P72" i="1"/>
  <c r="Q72" i="1"/>
  <c r="R72" i="1"/>
  <c r="S72" i="1"/>
  <c r="N73" i="1"/>
  <c r="O73" i="1"/>
  <c r="P73" i="1"/>
  <c r="Q73" i="1"/>
  <c r="R73" i="1"/>
  <c r="S73" i="1"/>
  <c r="N74" i="1"/>
  <c r="O74" i="1"/>
  <c r="P74" i="1"/>
  <c r="Q74" i="1"/>
  <c r="R74" i="1"/>
  <c r="S74" i="1"/>
  <c r="N75" i="1"/>
  <c r="O75" i="1"/>
  <c r="P75" i="1"/>
  <c r="Q75" i="1"/>
  <c r="R75" i="1"/>
  <c r="S75" i="1"/>
  <c r="N76" i="1"/>
  <c r="O76" i="1"/>
  <c r="P76" i="1"/>
  <c r="Q76" i="1"/>
  <c r="R76" i="1"/>
  <c r="S76" i="1"/>
  <c r="N140" i="1"/>
  <c r="O140" i="1"/>
  <c r="P140" i="1"/>
  <c r="Q140" i="1"/>
  <c r="R140" i="1"/>
  <c r="S140" i="1"/>
  <c r="N141" i="1"/>
  <c r="O141" i="1"/>
  <c r="P141" i="1"/>
  <c r="Q141" i="1"/>
  <c r="R141" i="1"/>
  <c r="S141" i="1"/>
  <c r="N142" i="1"/>
  <c r="O142" i="1"/>
  <c r="P142" i="1"/>
  <c r="Q142" i="1"/>
  <c r="R142" i="1"/>
  <c r="S142" i="1"/>
  <c r="N143" i="1"/>
  <c r="O143" i="1"/>
  <c r="P143" i="1"/>
  <c r="Q143" i="1"/>
  <c r="R143" i="1"/>
  <c r="S143" i="1"/>
  <c r="N144" i="1"/>
  <c r="O144" i="1"/>
  <c r="P144" i="1"/>
  <c r="Q144" i="1"/>
  <c r="R144" i="1"/>
  <c r="S144" i="1"/>
  <c r="N192" i="1"/>
  <c r="O192" i="1"/>
  <c r="P192" i="1"/>
  <c r="Q192" i="1"/>
  <c r="R192" i="1"/>
  <c r="S192" i="1"/>
  <c r="N193" i="1"/>
  <c r="T193" i="1" s="1"/>
  <c r="O193" i="1"/>
  <c r="P193" i="1"/>
  <c r="Q193" i="1"/>
  <c r="R193" i="1"/>
  <c r="S193" i="1"/>
  <c r="N194" i="1"/>
  <c r="O194" i="1"/>
  <c r="P194" i="1"/>
  <c r="Q194" i="1"/>
  <c r="R194" i="1"/>
  <c r="S194" i="1"/>
  <c r="N195" i="1"/>
  <c r="O195" i="1"/>
  <c r="P195" i="1"/>
  <c r="Q195" i="1"/>
  <c r="R195" i="1"/>
  <c r="S195" i="1"/>
  <c r="N196" i="1"/>
  <c r="O196" i="1"/>
  <c r="P196" i="1"/>
  <c r="V196" i="1" s="1"/>
  <c r="Q196" i="1"/>
  <c r="R196" i="1"/>
  <c r="S196" i="1"/>
  <c r="N104" i="1"/>
  <c r="O104" i="1"/>
  <c r="P104" i="1"/>
  <c r="Q104" i="1"/>
  <c r="R104" i="1"/>
  <c r="S104" i="1"/>
  <c r="N105" i="1"/>
  <c r="O105" i="1"/>
  <c r="P105" i="1"/>
  <c r="Q105" i="1"/>
  <c r="R105" i="1"/>
  <c r="S105" i="1"/>
  <c r="N106" i="1"/>
  <c r="O106" i="1"/>
  <c r="P106" i="1"/>
  <c r="Q106" i="1"/>
  <c r="R106" i="1"/>
  <c r="S106" i="1"/>
  <c r="N107" i="1"/>
  <c r="O107" i="1"/>
  <c r="P107" i="1"/>
  <c r="Q107" i="1"/>
  <c r="R107" i="1"/>
  <c r="S107" i="1"/>
  <c r="N108" i="1"/>
  <c r="O108" i="1"/>
  <c r="P108" i="1"/>
  <c r="Q108" i="1"/>
  <c r="R108" i="1"/>
  <c r="S108" i="1"/>
  <c r="N49" i="1"/>
  <c r="O49" i="1"/>
  <c r="P49" i="1"/>
  <c r="Q49" i="1"/>
  <c r="R49" i="1"/>
  <c r="S49" i="1"/>
  <c r="N64" i="1"/>
  <c r="O64" i="1"/>
  <c r="P64" i="1"/>
  <c r="Q64" i="1"/>
  <c r="R64" i="1"/>
  <c r="S64" i="1"/>
  <c r="N128" i="1"/>
  <c r="O128" i="1"/>
  <c r="P128" i="1"/>
  <c r="Q128" i="1"/>
  <c r="R128" i="1"/>
  <c r="S128" i="1"/>
  <c r="N170" i="1"/>
  <c r="T170" i="1" s="1"/>
  <c r="O170" i="1"/>
  <c r="P170" i="1"/>
  <c r="Q170" i="1"/>
  <c r="R170" i="1"/>
  <c r="S170" i="1"/>
  <c r="N96" i="1"/>
  <c r="O96" i="1"/>
  <c r="P96" i="1"/>
  <c r="V96" i="1" s="1"/>
  <c r="Q96" i="1"/>
  <c r="R96" i="1"/>
  <c r="S96" i="1"/>
  <c r="N77" i="1"/>
  <c r="O77" i="1"/>
  <c r="P77" i="1"/>
  <c r="Q77" i="1"/>
  <c r="R77" i="1"/>
  <c r="S77" i="1"/>
  <c r="N81" i="1"/>
  <c r="O81" i="1"/>
  <c r="P81" i="1"/>
  <c r="Q81" i="1"/>
  <c r="R81" i="1"/>
  <c r="S81" i="1"/>
  <c r="N174" i="1"/>
  <c r="O174" i="1"/>
  <c r="P174" i="1"/>
  <c r="Q174" i="1"/>
  <c r="R174" i="1"/>
  <c r="S174" i="1"/>
  <c r="N176" i="1"/>
  <c r="O176" i="1"/>
  <c r="P176" i="1"/>
  <c r="Q176" i="1"/>
  <c r="R176" i="1"/>
  <c r="S176" i="1"/>
  <c r="N132" i="1"/>
  <c r="O132" i="1"/>
  <c r="P132" i="1"/>
  <c r="Q132" i="1"/>
  <c r="R132" i="1"/>
  <c r="S132" i="1"/>
  <c r="N145" i="1"/>
  <c r="O145" i="1"/>
  <c r="P145" i="1"/>
  <c r="Q145" i="1"/>
  <c r="R145" i="1"/>
  <c r="S145" i="1"/>
  <c r="N184" i="1"/>
  <c r="O184" i="1"/>
  <c r="P184" i="1"/>
  <c r="Q184" i="1"/>
  <c r="R184" i="1"/>
  <c r="S184" i="1"/>
  <c r="N153" i="1"/>
  <c r="O153" i="1"/>
  <c r="P153" i="1"/>
  <c r="Q153" i="1"/>
  <c r="R153" i="1"/>
  <c r="S153" i="1"/>
  <c r="N211" i="1"/>
  <c r="O211" i="1"/>
  <c r="P211" i="1"/>
  <c r="Q211" i="1"/>
  <c r="R211" i="1"/>
  <c r="S211" i="1"/>
  <c r="N207" i="1"/>
  <c r="O207" i="1"/>
  <c r="P207" i="1"/>
  <c r="Q207" i="1"/>
  <c r="R207" i="1"/>
  <c r="S207" i="1"/>
  <c r="N197" i="1"/>
  <c r="T197" i="1" s="1"/>
  <c r="O197" i="1"/>
  <c r="P197" i="1"/>
  <c r="Q197" i="1"/>
  <c r="R197" i="1"/>
  <c r="S197" i="1"/>
  <c r="N203" i="1"/>
  <c r="O203" i="1"/>
  <c r="P203" i="1"/>
  <c r="Q203" i="1"/>
  <c r="R203" i="1"/>
  <c r="S203" i="1"/>
  <c r="N213" i="1"/>
  <c r="O213" i="1"/>
  <c r="P213" i="1"/>
  <c r="Q213" i="1"/>
  <c r="R213" i="1"/>
  <c r="S213" i="1"/>
  <c r="N215" i="1"/>
  <c r="O215" i="1"/>
  <c r="P215" i="1"/>
  <c r="Q215" i="1"/>
  <c r="R215" i="1"/>
  <c r="S215" i="1"/>
  <c r="N224" i="1"/>
  <c r="O224" i="1"/>
  <c r="P224" i="1"/>
  <c r="Q224" i="1"/>
  <c r="R224" i="1"/>
  <c r="S224" i="1"/>
  <c r="N109" i="1"/>
  <c r="O109" i="1"/>
  <c r="P109" i="1"/>
  <c r="V109" i="1" s="1"/>
  <c r="Q109" i="1"/>
  <c r="R109" i="1"/>
  <c r="S109" i="1"/>
  <c r="N149" i="1"/>
  <c r="O149" i="1"/>
  <c r="P149" i="1"/>
  <c r="Q149" i="1"/>
  <c r="R149" i="1"/>
  <c r="S149" i="1"/>
  <c r="N180" i="1"/>
  <c r="O180" i="1"/>
  <c r="P180" i="1"/>
  <c r="Q180" i="1"/>
  <c r="R180" i="1"/>
  <c r="S180" i="1"/>
  <c r="N222" i="1"/>
  <c r="O222" i="1"/>
  <c r="P222" i="1"/>
  <c r="Q222" i="1"/>
  <c r="R222" i="1"/>
  <c r="S222" i="1"/>
  <c r="N113" i="1"/>
  <c r="O113" i="1"/>
  <c r="P113" i="1"/>
  <c r="Q113" i="1"/>
  <c r="R113" i="1"/>
  <c r="S113" i="1"/>
  <c r="N50" i="1"/>
  <c r="T50" i="1" s="1"/>
  <c r="O50" i="1"/>
  <c r="P50" i="1"/>
  <c r="Q50" i="1"/>
  <c r="R50" i="1"/>
  <c r="S50" i="1"/>
  <c r="N78" i="1"/>
  <c r="O78" i="1"/>
  <c r="P78" i="1"/>
  <c r="Q78" i="1"/>
  <c r="R78" i="1"/>
  <c r="S78" i="1"/>
  <c r="N146" i="1"/>
  <c r="O146" i="1"/>
  <c r="P146" i="1"/>
  <c r="Q146" i="1"/>
  <c r="R146" i="1"/>
  <c r="S146" i="1"/>
  <c r="N198" i="1"/>
  <c r="O198" i="1"/>
  <c r="P198" i="1"/>
  <c r="Q198" i="1"/>
  <c r="R198" i="1"/>
  <c r="S198" i="1"/>
  <c r="N110" i="1"/>
  <c r="O110" i="1"/>
  <c r="P110" i="1"/>
  <c r="Q110" i="1"/>
  <c r="R110" i="1"/>
  <c r="S110" i="1"/>
  <c r="N79" i="1"/>
  <c r="O79" i="1"/>
  <c r="P79" i="1"/>
  <c r="Q79" i="1"/>
  <c r="R79" i="1"/>
  <c r="S79" i="1"/>
  <c r="N82" i="1"/>
  <c r="O82" i="1"/>
  <c r="P82" i="1"/>
  <c r="Q82" i="1"/>
  <c r="R82" i="1"/>
  <c r="S82" i="1"/>
  <c r="N199" i="1"/>
  <c r="O199" i="1"/>
  <c r="P199" i="1"/>
  <c r="Q199" i="1"/>
  <c r="R199" i="1"/>
  <c r="S199" i="1"/>
  <c r="N204" i="1"/>
  <c r="O204" i="1"/>
  <c r="P204" i="1"/>
  <c r="Q204" i="1"/>
  <c r="R204" i="1"/>
  <c r="S204" i="1"/>
  <c r="N150" i="1"/>
  <c r="O150" i="1"/>
  <c r="P150" i="1"/>
  <c r="Q150" i="1"/>
  <c r="R150" i="1"/>
  <c r="S150" i="1"/>
  <c r="N147" i="1"/>
  <c r="T147" i="1" s="1"/>
  <c r="O147" i="1"/>
  <c r="P147" i="1"/>
  <c r="Q147" i="1"/>
  <c r="R147" i="1"/>
  <c r="S147" i="1"/>
  <c r="N200" i="1"/>
  <c r="O200" i="1"/>
  <c r="P200" i="1"/>
  <c r="Q200" i="1"/>
  <c r="R200" i="1"/>
  <c r="S200" i="1"/>
  <c r="N154" i="1"/>
  <c r="O154" i="1"/>
  <c r="P154" i="1"/>
  <c r="Q154" i="1"/>
  <c r="R154" i="1"/>
  <c r="S154" i="1"/>
  <c r="N216" i="1"/>
  <c r="O216" i="1"/>
  <c r="P216" i="1"/>
  <c r="Q216" i="1"/>
  <c r="R216" i="1"/>
  <c r="S216" i="1"/>
  <c r="N208" i="1"/>
  <c r="O208" i="1"/>
  <c r="P208" i="1"/>
  <c r="Q208" i="1"/>
  <c r="R208" i="1"/>
  <c r="S208" i="1"/>
  <c r="N201" i="1"/>
  <c r="O201" i="1"/>
  <c r="P201" i="1"/>
  <c r="Q201" i="1"/>
  <c r="R201" i="1"/>
  <c r="S201" i="1"/>
  <c r="N205" i="1"/>
  <c r="O205" i="1"/>
  <c r="P205" i="1"/>
  <c r="Q205" i="1"/>
  <c r="R205" i="1"/>
  <c r="S205" i="1"/>
  <c r="N217" i="1"/>
  <c r="O217" i="1"/>
  <c r="P217" i="1"/>
  <c r="Q217" i="1"/>
  <c r="R217" i="1"/>
  <c r="S217" i="1"/>
  <c r="N218" i="1"/>
  <c r="O218" i="1"/>
  <c r="P218" i="1"/>
  <c r="Q218" i="1"/>
  <c r="R218" i="1"/>
  <c r="S218" i="1"/>
  <c r="N225" i="1"/>
  <c r="O225" i="1"/>
  <c r="P225" i="1"/>
  <c r="Q225" i="1"/>
  <c r="R225" i="1"/>
  <c r="S225" i="1"/>
  <c r="N111" i="1"/>
  <c r="O111" i="1"/>
  <c r="P111" i="1"/>
  <c r="Q111" i="1"/>
  <c r="R111" i="1"/>
  <c r="S111" i="1"/>
  <c r="N151" i="1"/>
  <c r="O151" i="1"/>
  <c r="P151" i="1"/>
  <c r="Q151" i="1"/>
  <c r="R151" i="1"/>
  <c r="S151" i="1"/>
  <c r="N209" i="1"/>
  <c r="O209" i="1"/>
  <c r="P209" i="1"/>
  <c r="Q209" i="1"/>
  <c r="R209" i="1"/>
  <c r="S209" i="1"/>
  <c r="N226" i="1"/>
  <c r="O226" i="1"/>
  <c r="U226" i="1" s="1"/>
  <c r="P226" i="1"/>
  <c r="Q226" i="1"/>
  <c r="R226" i="1"/>
  <c r="S226" i="1"/>
  <c r="N114" i="1"/>
  <c r="O114" i="1"/>
  <c r="P114" i="1"/>
  <c r="Q114" i="1"/>
  <c r="R114" i="1"/>
  <c r="S114" i="1"/>
  <c r="P2" i="1"/>
  <c r="O2" i="1"/>
  <c r="V9" i="1"/>
  <c r="S2" i="1"/>
  <c r="R2" i="1"/>
  <c r="Q2" i="1"/>
  <c r="N2" i="1"/>
  <c r="G6" i="1"/>
  <c r="F6" i="1"/>
  <c r="E6" i="1"/>
  <c r="G5" i="1"/>
  <c r="F5" i="1"/>
  <c r="E5" i="1"/>
  <c r="G4" i="1"/>
  <c r="F4" i="1"/>
  <c r="E4" i="1"/>
  <c r="G3" i="1"/>
  <c r="F3" i="1"/>
  <c r="E3" i="1"/>
  <c r="G2" i="1"/>
  <c r="F2" i="1"/>
  <c r="E2" i="1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" i="7"/>
  <c r="U202" i="1" l="1"/>
  <c r="T111" i="1"/>
  <c r="T218" i="1"/>
  <c r="T154" i="1"/>
  <c r="V199" i="1"/>
  <c r="V79" i="1"/>
  <c r="T149" i="1"/>
  <c r="T224" i="1"/>
  <c r="T184" i="1"/>
  <c r="V128" i="1"/>
  <c r="T114" i="1"/>
  <c r="T209" i="1"/>
  <c r="T205" i="1"/>
  <c r="T208" i="1"/>
  <c r="V150" i="1"/>
  <c r="T204" i="1"/>
  <c r="T82" i="1"/>
  <c r="T110" i="1"/>
  <c r="T146" i="1"/>
  <c r="T222" i="1"/>
  <c r="T213" i="1"/>
  <c r="T211" i="1"/>
  <c r="T132" i="1"/>
  <c r="V81" i="1"/>
  <c r="V49" i="1"/>
  <c r="V226" i="1"/>
  <c r="V151" i="1"/>
  <c r="V225" i="1"/>
  <c r="V217" i="1"/>
  <c r="V201" i="1"/>
  <c r="V216" i="1"/>
  <c r="V200" i="1"/>
  <c r="V198" i="1"/>
  <c r="V78" i="1"/>
  <c r="V113" i="1"/>
  <c r="V180" i="1"/>
  <c r="V215" i="1"/>
  <c r="V203" i="1"/>
  <c r="V207" i="1"/>
  <c r="V153" i="1"/>
  <c r="V145" i="1"/>
  <c r="V176" i="1"/>
  <c r="T174" i="1"/>
  <c r="T77" i="1"/>
  <c r="T64" i="1"/>
  <c r="T56" i="1"/>
  <c r="V41" i="1"/>
  <c r="T40" i="1"/>
  <c r="V39" i="1"/>
  <c r="T38" i="1"/>
  <c r="V37" i="1"/>
  <c r="T101" i="1"/>
  <c r="V69" i="1"/>
  <c r="T36" i="1"/>
  <c r="V100" i="1"/>
  <c r="T188" i="1"/>
  <c r="V136" i="1"/>
  <c r="T68" i="1"/>
  <c r="T99" i="1"/>
  <c r="V187" i="1"/>
  <c r="T135" i="1"/>
  <c r="V67" i="1"/>
  <c r="T34" i="1"/>
  <c r="V98" i="1"/>
  <c r="T66" i="1"/>
  <c r="V33" i="1"/>
  <c r="T97" i="1"/>
  <c r="V185" i="1"/>
  <c r="T133" i="1"/>
  <c r="V65" i="1"/>
  <c r="T32" i="1"/>
  <c r="V87" i="1"/>
  <c r="T159" i="1"/>
  <c r="T55" i="1"/>
  <c r="V31" i="1"/>
  <c r="T86" i="1"/>
  <c r="V158" i="1"/>
  <c r="T118" i="1"/>
  <c r="V54" i="1"/>
  <c r="V85" i="1"/>
  <c r="T157" i="1"/>
  <c r="T53" i="1"/>
  <c r="V29" i="1"/>
  <c r="T84" i="1"/>
  <c r="V156" i="1"/>
  <c r="T116" i="1"/>
  <c r="V52" i="1"/>
  <c r="T28" i="1"/>
  <c r="V83" i="1"/>
  <c r="T155" i="1"/>
  <c r="V27" i="1"/>
  <c r="T26" i="1"/>
  <c r="V25" i="1"/>
  <c r="T24" i="1"/>
  <c r="V23" i="1"/>
  <c r="T22" i="1"/>
  <c r="V21" i="1"/>
  <c r="T20" i="1"/>
  <c r="T18" i="1"/>
  <c r="V17" i="1"/>
  <c r="T16" i="1"/>
  <c r="V15" i="1"/>
  <c r="T14" i="1"/>
  <c r="V13" i="1"/>
  <c r="T12" i="1"/>
  <c r="V11" i="1"/>
  <c r="T8" i="1"/>
  <c r="V7" i="1"/>
  <c r="T6" i="1"/>
  <c r="V5" i="1"/>
  <c r="T4" i="1"/>
  <c r="V3" i="1"/>
  <c r="V107" i="1"/>
  <c r="T106" i="1"/>
  <c r="T104" i="1"/>
  <c r="T195" i="1"/>
  <c r="V192" i="1"/>
  <c r="T144" i="1"/>
  <c r="V143" i="1"/>
  <c r="T142" i="1"/>
  <c r="V141" i="1"/>
  <c r="T140" i="1"/>
  <c r="V76" i="1"/>
  <c r="T75" i="1"/>
  <c r="V74" i="1"/>
  <c r="V72" i="1"/>
  <c r="T48" i="1"/>
  <c r="V112" i="1"/>
  <c r="T221" i="1"/>
  <c r="V175" i="1"/>
  <c r="V152" i="1"/>
  <c r="T173" i="1"/>
  <c r="V127" i="1"/>
  <c r="V202" i="1"/>
  <c r="T183" i="1"/>
  <c r="V80" i="1"/>
  <c r="T63" i="1"/>
  <c r="V103" i="1"/>
  <c r="T191" i="1"/>
  <c r="V139" i="1"/>
  <c r="T71" i="1"/>
  <c r="V43" i="1"/>
  <c r="T102" i="1"/>
  <c r="V130" i="1"/>
  <c r="T94" i="1"/>
  <c r="V219" i="1"/>
  <c r="T190" i="1"/>
  <c r="V182" i="1"/>
  <c r="T172" i="1"/>
  <c r="V168" i="1"/>
  <c r="T177" i="1"/>
  <c r="T138" i="1"/>
  <c r="V167" i="1"/>
  <c r="V129" i="1"/>
  <c r="T171" i="1"/>
  <c r="V166" i="1"/>
  <c r="T70" i="1"/>
  <c r="V62" i="1"/>
  <c r="T93" i="1"/>
  <c r="T125" i="1"/>
  <c r="V61" i="1"/>
  <c r="T42" i="1"/>
  <c r="V92" i="1"/>
  <c r="T91" i="1"/>
  <c r="V90" i="1"/>
  <c r="T89" i="1"/>
  <c r="T164" i="1"/>
  <c r="V163" i="1"/>
  <c r="T162" i="1"/>
  <c r="V161" i="1"/>
  <c r="T160" i="1"/>
  <c r="V124" i="1"/>
  <c r="T123" i="1"/>
  <c r="V122" i="1"/>
  <c r="T121" i="1"/>
  <c r="V59" i="1"/>
  <c r="T58" i="1"/>
  <c r="V57" i="1"/>
  <c r="U141" i="1"/>
  <c r="T65" i="1"/>
  <c r="T17" i="1"/>
  <c r="T108" i="1"/>
  <c r="V105" i="1"/>
  <c r="V194" i="1"/>
  <c r="T73" i="1"/>
  <c r="V47" i="1"/>
  <c r="T46" i="1"/>
  <c r="T223" i="1"/>
  <c r="V206" i="1"/>
  <c r="T131" i="1"/>
  <c r="V95" i="1"/>
  <c r="V214" i="1"/>
  <c r="T210" i="1"/>
  <c r="T169" i="1"/>
  <c r="T212" i="1"/>
  <c r="U114" i="1"/>
  <c r="U209" i="1"/>
  <c r="U111" i="1"/>
  <c r="U218" i="1"/>
  <c r="U205" i="1"/>
  <c r="U208" i="1"/>
  <c r="U154" i="1"/>
  <c r="U147" i="1"/>
  <c r="U204" i="1"/>
  <c r="U170" i="1"/>
  <c r="U64" i="1"/>
  <c r="U108" i="1"/>
  <c r="U106" i="1"/>
  <c r="U104" i="1"/>
  <c r="U195" i="1"/>
  <c r="U193" i="1"/>
  <c r="U144" i="1"/>
  <c r="U142" i="1"/>
  <c r="U140" i="1"/>
  <c r="U75" i="1"/>
  <c r="U73" i="1"/>
  <c r="U48" i="1"/>
  <c r="U46" i="1"/>
  <c r="U44" i="1"/>
  <c r="U223" i="1"/>
  <c r="U131" i="1"/>
  <c r="U221" i="1"/>
  <c r="U210" i="1"/>
  <c r="U169" i="1"/>
  <c r="U212" i="1"/>
  <c r="U173" i="1"/>
  <c r="U148" i="1"/>
  <c r="U183" i="1"/>
  <c r="U63" i="1"/>
  <c r="U191" i="1"/>
  <c r="U71" i="1"/>
  <c r="U102" i="1"/>
  <c r="U178" i="1"/>
  <c r="U94" i="1"/>
  <c r="U190" i="1"/>
  <c r="U172" i="1"/>
  <c r="U177" i="1"/>
  <c r="U138" i="1"/>
  <c r="U126" i="1"/>
  <c r="U171" i="1"/>
  <c r="U70" i="1"/>
  <c r="U93" i="1"/>
  <c r="U125" i="1"/>
  <c r="U42" i="1"/>
  <c r="U91" i="1"/>
  <c r="U89" i="1"/>
  <c r="U164" i="1"/>
  <c r="U162" i="1"/>
  <c r="U160" i="1"/>
  <c r="U123" i="1"/>
  <c r="U121" i="1"/>
  <c r="U60" i="1"/>
  <c r="U58" i="1"/>
  <c r="U101" i="1"/>
  <c r="U137" i="1"/>
  <c r="U36" i="1"/>
  <c r="U188" i="1"/>
  <c r="U56" i="1"/>
  <c r="U40" i="1"/>
  <c r="U38" i="1"/>
  <c r="U68" i="1"/>
  <c r="U99" i="1"/>
  <c r="U135" i="1"/>
  <c r="U34" i="1"/>
  <c r="U186" i="1"/>
  <c r="U66" i="1"/>
  <c r="U225" i="1"/>
  <c r="U109" i="1"/>
  <c r="U81" i="1"/>
  <c r="U43" i="1"/>
  <c r="U90" i="1"/>
  <c r="U100" i="1"/>
  <c r="U67" i="1"/>
  <c r="U156" i="1"/>
  <c r="U7" i="1"/>
  <c r="U200" i="1"/>
  <c r="U199" i="1"/>
  <c r="U198" i="1"/>
  <c r="U215" i="1"/>
  <c r="U203" i="1"/>
  <c r="U153" i="1"/>
  <c r="U145" i="1"/>
  <c r="U176" i="1"/>
  <c r="U82" i="1"/>
  <c r="U110" i="1"/>
  <c r="U146" i="1"/>
  <c r="U50" i="1"/>
  <c r="U222" i="1"/>
  <c r="U149" i="1"/>
  <c r="U224" i="1"/>
  <c r="U213" i="1"/>
  <c r="U197" i="1"/>
  <c r="U211" i="1"/>
  <c r="U184" i="1"/>
  <c r="U132" i="1"/>
  <c r="U174" i="1"/>
  <c r="U77" i="1"/>
  <c r="U128" i="1"/>
  <c r="U107" i="1"/>
  <c r="U192" i="1"/>
  <c r="U74" i="1"/>
  <c r="U112" i="1"/>
  <c r="U95" i="1"/>
  <c r="T214" i="1"/>
  <c r="U175" i="1"/>
  <c r="U103" i="1"/>
  <c r="U182" i="1"/>
  <c r="U181" i="1"/>
  <c r="U129" i="1"/>
  <c r="U61" i="1"/>
  <c r="U163" i="1"/>
  <c r="U120" i="1"/>
  <c r="U57" i="1"/>
  <c r="U39" i="1"/>
  <c r="T136" i="1"/>
  <c r="U35" i="1"/>
  <c r="U185" i="1"/>
  <c r="U87" i="1"/>
  <c r="U31" i="1"/>
  <c r="T158" i="1"/>
  <c r="U117" i="1"/>
  <c r="U83" i="1"/>
  <c r="U23" i="1"/>
  <c r="U19" i="1"/>
  <c r="U15" i="1"/>
  <c r="U3" i="1"/>
  <c r="U97" i="1"/>
  <c r="U133" i="1"/>
  <c r="U32" i="1"/>
  <c r="U159" i="1"/>
  <c r="U55" i="1"/>
  <c r="U86" i="1"/>
  <c r="U118" i="1"/>
  <c r="U30" i="1"/>
  <c r="U157" i="1"/>
  <c r="V209" i="1"/>
  <c r="W209" i="1" s="1"/>
  <c r="T151" i="1"/>
  <c r="V218" i="1"/>
  <c r="T217" i="1"/>
  <c r="V154" i="1"/>
  <c r="W154" i="1" s="1"/>
  <c r="T200" i="1"/>
  <c r="V204" i="1"/>
  <c r="T199" i="1"/>
  <c r="V146" i="1"/>
  <c r="T78" i="1"/>
  <c r="V222" i="1"/>
  <c r="T180" i="1"/>
  <c r="V149" i="1"/>
  <c r="T109" i="1"/>
  <c r="V224" i="1"/>
  <c r="T215" i="1"/>
  <c r="V213" i="1"/>
  <c r="T203" i="1"/>
  <c r="V197" i="1"/>
  <c r="T207" i="1"/>
  <c r="V211" i="1"/>
  <c r="T153" i="1"/>
  <c r="V184" i="1"/>
  <c r="T145" i="1"/>
  <c r="V132" i="1"/>
  <c r="T176" i="1"/>
  <c r="W176" i="1" s="1"/>
  <c r="V174" i="1"/>
  <c r="T81" i="1"/>
  <c r="V77" i="1"/>
  <c r="T96" i="1"/>
  <c r="V170" i="1"/>
  <c r="T128" i="1"/>
  <c r="V64" i="1"/>
  <c r="W64" i="1" s="1"/>
  <c r="T49" i="1"/>
  <c r="V108" i="1"/>
  <c r="W108" i="1" s="1"/>
  <c r="T107" i="1"/>
  <c r="V106" i="1"/>
  <c r="W106" i="1" s="1"/>
  <c r="T105" i="1"/>
  <c r="V104" i="1"/>
  <c r="T196" i="1"/>
  <c r="V195" i="1"/>
  <c r="W195" i="1" s="1"/>
  <c r="T194" i="1"/>
  <c r="V193" i="1"/>
  <c r="W193" i="1" s="1"/>
  <c r="T192" i="1"/>
  <c r="V144" i="1"/>
  <c r="W144" i="1" s="1"/>
  <c r="T143" i="1"/>
  <c r="V142" i="1"/>
  <c r="T141" i="1"/>
  <c r="V140" i="1"/>
  <c r="W140" i="1" s="1"/>
  <c r="T76" i="1"/>
  <c r="V75" i="1"/>
  <c r="T74" i="1"/>
  <c r="V73" i="1"/>
  <c r="T72" i="1"/>
  <c r="V48" i="1"/>
  <c r="T47" i="1"/>
  <c r="V46" i="1"/>
  <c r="W46" i="1" s="1"/>
  <c r="T45" i="1"/>
  <c r="V44" i="1"/>
  <c r="W44" i="1" s="1"/>
  <c r="T112" i="1"/>
  <c r="V223" i="1"/>
  <c r="W223" i="1" s="1"/>
  <c r="T206" i="1"/>
  <c r="V131" i="1"/>
  <c r="T95" i="1"/>
  <c r="W95" i="1" s="1"/>
  <c r="V221" i="1"/>
  <c r="W221" i="1" s="1"/>
  <c r="V210" i="1"/>
  <c r="T175" i="1"/>
  <c r="V169" i="1"/>
  <c r="T179" i="1"/>
  <c r="V212" i="1"/>
  <c r="T152" i="1"/>
  <c r="V173" i="1"/>
  <c r="T127" i="1"/>
  <c r="V148" i="1"/>
  <c r="W148" i="1" s="1"/>
  <c r="T202" i="1"/>
  <c r="W202" i="1" s="1"/>
  <c r="V183" i="1"/>
  <c r="T80" i="1"/>
  <c r="V63" i="1"/>
  <c r="T103" i="1"/>
  <c r="W103" i="1" s="1"/>
  <c r="V191" i="1"/>
  <c r="W191" i="1" s="1"/>
  <c r="T139" i="1"/>
  <c r="V71" i="1"/>
  <c r="T43" i="1"/>
  <c r="W43" i="1" s="1"/>
  <c r="V102" i="1"/>
  <c r="T220" i="1"/>
  <c r="V178" i="1"/>
  <c r="T130" i="1"/>
  <c r="V94" i="1"/>
  <c r="T219" i="1"/>
  <c r="V190" i="1"/>
  <c r="W190" i="1" s="1"/>
  <c r="T182" i="1"/>
  <c r="V172" i="1"/>
  <c r="T168" i="1"/>
  <c r="V177" i="1"/>
  <c r="T181" i="1"/>
  <c r="V138" i="1"/>
  <c r="T167" i="1"/>
  <c r="V126" i="1"/>
  <c r="W126" i="1" s="1"/>
  <c r="T129" i="1"/>
  <c r="V171" i="1"/>
  <c r="T166" i="1"/>
  <c r="V70" i="1"/>
  <c r="T62" i="1"/>
  <c r="V93" i="1"/>
  <c r="W93" i="1" s="1"/>
  <c r="T165" i="1"/>
  <c r="V125" i="1"/>
  <c r="T61" i="1"/>
  <c r="V42" i="1"/>
  <c r="T92" i="1"/>
  <c r="V91" i="1"/>
  <c r="T90" i="1"/>
  <c r="V89" i="1"/>
  <c r="W89" i="1" s="1"/>
  <c r="V164" i="1"/>
  <c r="W164" i="1" s="1"/>
  <c r="T163" i="1"/>
  <c r="V162" i="1"/>
  <c r="T161" i="1"/>
  <c r="V160" i="1"/>
  <c r="W160" i="1" s="1"/>
  <c r="T124" i="1"/>
  <c r="V123" i="1"/>
  <c r="T122" i="1"/>
  <c r="V121" i="1"/>
  <c r="W121" i="1" s="1"/>
  <c r="T120" i="1"/>
  <c r="V60" i="1"/>
  <c r="T59" i="1"/>
  <c r="V58" i="1"/>
  <c r="W58" i="1" s="1"/>
  <c r="T57" i="1"/>
  <c r="W57" i="1" s="1"/>
  <c r="V114" i="1"/>
  <c r="T226" i="1"/>
  <c r="W226" i="1" s="1"/>
  <c r="V111" i="1"/>
  <c r="W111" i="1" s="1"/>
  <c r="T225" i="1"/>
  <c r="V205" i="1"/>
  <c r="T201" i="1"/>
  <c r="V208" i="1"/>
  <c r="T216" i="1"/>
  <c r="V147" i="1"/>
  <c r="W147" i="1" s="1"/>
  <c r="T150" i="1"/>
  <c r="V82" i="1"/>
  <c r="T79" i="1"/>
  <c r="V110" i="1"/>
  <c r="T198" i="1"/>
  <c r="V50" i="1"/>
  <c r="T113" i="1"/>
  <c r="W113" i="1" s="1"/>
  <c r="T2" i="1"/>
  <c r="U151" i="1"/>
  <c r="U217" i="1"/>
  <c r="U201" i="1"/>
  <c r="U216" i="1"/>
  <c r="U150" i="1"/>
  <c r="U79" i="1"/>
  <c r="U78" i="1"/>
  <c r="U113" i="1"/>
  <c r="U180" i="1"/>
  <c r="U207" i="1"/>
  <c r="U96" i="1"/>
  <c r="U49" i="1"/>
  <c r="U105" i="1"/>
  <c r="U196" i="1"/>
  <c r="U194" i="1"/>
  <c r="U143" i="1"/>
  <c r="U76" i="1"/>
  <c r="U72" i="1"/>
  <c r="U47" i="1"/>
  <c r="U45" i="1"/>
  <c r="U206" i="1"/>
  <c r="U214" i="1"/>
  <c r="U179" i="1"/>
  <c r="U152" i="1"/>
  <c r="U127" i="1"/>
  <c r="U80" i="1"/>
  <c r="U139" i="1"/>
  <c r="U220" i="1"/>
  <c r="U130" i="1"/>
  <c r="U219" i="1"/>
  <c r="U168" i="1"/>
  <c r="U167" i="1"/>
  <c r="U166" i="1"/>
  <c r="U62" i="1"/>
  <c r="U165" i="1"/>
  <c r="V56" i="1"/>
  <c r="W56" i="1" s="1"/>
  <c r="T41" i="1"/>
  <c r="V40" i="1"/>
  <c r="W40" i="1" s="1"/>
  <c r="T39" i="1"/>
  <c r="V38" i="1"/>
  <c r="T37" i="1"/>
  <c r="V101" i="1"/>
  <c r="W101" i="1" s="1"/>
  <c r="T189" i="1"/>
  <c r="V137" i="1"/>
  <c r="W137" i="1" s="1"/>
  <c r="T69" i="1"/>
  <c r="V36" i="1"/>
  <c r="W36" i="1" s="1"/>
  <c r="T100" i="1"/>
  <c r="V188" i="1"/>
  <c r="V68" i="1"/>
  <c r="T35" i="1"/>
  <c r="W35" i="1" s="1"/>
  <c r="V99" i="1"/>
  <c r="W99" i="1" s="1"/>
  <c r="T187" i="1"/>
  <c r="V135" i="1"/>
  <c r="T67" i="1"/>
  <c r="W67" i="1" s="1"/>
  <c r="V34" i="1"/>
  <c r="T98" i="1"/>
  <c r="V186" i="1"/>
  <c r="T134" i="1"/>
  <c r="V66" i="1"/>
  <c r="T33" i="1"/>
  <c r="V97" i="1"/>
  <c r="T185" i="1"/>
  <c r="V133" i="1"/>
  <c r="V32" i="1"/>
  <c r="T87" i="1"/>
  <c r="V159" i="1"/>
  <c r="T119" i="1"/>
  <c r="V55" i="1"/>
  <c r="T31" i="1"/>
  <c r="V86" i="1"/>
  <c r="V118" i="1"/>
  <c r="T54" i="1"/>
  <c r="V30" i="1"/>
  <c r="T85" i="1"/>
  <c r="V157" i="1"/>
  <c r="T117" i="1"/>
  <c r="V53" i="1"/>
  <c r="T29" i="1"/>
  <c r="V84" i="1"/>
  <c r="T156" i="1"/>
  <c r="V116" i="1"/>
  <c r="T52" i="1"/>
  <c r="V28" i="1"/>
  <c r="T83" i="1"/>
  <c r="V155" i="1"/>
  <c r="T115" i="1"/>
  <c r="V51" i="1"/>
  <c r="T27" i="1"/>
  <c r="V26" i="1"/>
  <c r="T25" i="1"/>
  <c r="V24" i="1"/>
  <c r="T23" i="1"/>
  <c r="V22" i="1"/>
  <c r="T21" i="1"/>
  <c r="V20" i="1"/>
  <c r="T19" i="1"/>
  <c r="V18" i="1"/>
  <c r="V16" i="1"/>
  <c r="T15" i="1"/>
  <c r="W15" i="1" s="1"/>
  <c r="V14" i="1"/>
  <c r="T13" i="1"/>
  <c r="V12" i="1"/>
  <c r="T11" i="1"/>
  <c r="W11" i="1" s="1"/>
  <c r="V10" i="1"/>
  <c r="T9" i="1"/>
  <c r="V8" i="1"/>
  <c r="T7" i="1"/>
  <c r="V6" i="1"/>
  <c r="T5" i="1"/>
  <c r="V4" i="1"/>
  <c r="T3" i="1"/>
  <c r="U92" i="1"/>
  <c r="U88" i="1"/>
  <c r="W88" i="1" s="1"/>
  <c r="U161" i="1"/>
  <c r="U124" i="1"/>
  <c r="U122" i="1"/>
  <c r="U59" i="1"/>
  <c r="U41" i="1"/>
  <c r="U37" i="1"/>
  <c r="U189" i="1"/>
  <c r="U69" i="1"/>
  <c r="U136" i="1"/>
  <c r="U187" i="1"/>
  <c r="U98" i="1"/>
  <c r="U134" i="1"/>
  <c r="U33" i="1"/>
  <c r="U65" i="1"/>
  <c r="U119" i="1"/>
  <c r="U158" i="1"/>
  <c r="U54" i="1"/>
  <c r="U85" i="1"/>
  <c r="U29" i="1"/>
  <c r="U52" i="1"/>
  <c r="U115" i="1"/>
  <c r="U27" i="1"/>
  <c r="U25" i="1"/>
  <c r="U21" i="1"/>
  <c r="U17" i="1"/>
  <c r="W17" i="1" s="1"/>
  <c r="U13" i="1"/>
  <c r="U11" i="1"/>
  <c r="U9" i="1"/>
  <c r="U5" i="1"/>
  <c r="U53" i="1"/>
  <c r="U84" i="1"/>
  <c r="U116" i="1"/>
  <c r="W116" i="1" s="1"/>
  <c r="U28" i="1"/>
  <c r="U155" i="1"/>
  <c r="U51" i="1"/>
  <c r="U26" i="1"/>
  <c r="U24" i="1"/>
  <c r="U22" i="1"/>
  <c r="U20" i="1"/>
  <c r="U18" i="1"/>
  <c r="W18" i="1" s="1"/>
  <c r="U16" i="1"/>
  <c r="W16" i="1" s="1"/>
  <c r="U14" i="1"/>
  <c r="U12" i="1"/>
  <c r="U10" i="1"/>
  <c r="W10" i="1" s="1"/>
  <c r="U8" i="1"/>
  <c r="W8" i="1" s="1"/>
  <c r="U6" i="1"/>
  <c r="U4" i="1"/>
  <c r="U2" i="1"/>
  <c r="V2" i="1"/>
  <c r="AL47" i="4"/>
  <c r="AL50" i="4" s="1"/>
  <c r="AK47" i="4"/>
  <c r="AK50" i="4" s="1"/>
  <c r="AJ47" i="4"/>
  <c r="AJ50" i="4" s="1"/>
  <c r="AI47" i="4"/>
  <c r="AI50" i="4" s="1"/>
  <c r="AH47" i="4"/>
  <c r="AH50" i="4" s="1"/>
  <c r="AG47" i="4"/>
  <c r="AG50" i="4" s="1"/>
  <c r="AF47" i="4"/>
  <c r="AF50" i="4" s="1"/>
  <c r="AE47" i="4"/>
  <c r="AE50" i="4" s="1"/>
  <c r="AD47" i="4"/>
  <c r="AD50" i="4" s="1"/>
  <c r="AC47" i="4"/>
  <c r="AC50" i="4" s="1"/>
  <c r="AB47" i="4"/>
  <c r="AB50" i="4" s="1"/>
  <c r="AA47" i="4"/>
  <c r="AA50" i="4" s="1"/>
  <c r="Z47" i="4"/>
  <c r="Z50" i="4" s="1"/>
  <c r="Y47" i="4"/>
  <c r="Y50" i="4" s="1"/>
  <c r="X47" i="4"/>
  <c r="X50" i="4" s="1"/>
  <c r="W47" i="4"/>
  <c r="W50" i="4" s="1"/>
  <c r="V47" i="4"/>
  <c r="V50" i="4" s="1"/>
  <c r="U47" i="4"/>
  <c r="U50" i="4" s="1"/>
  <c r="T47" i="4"/>
  <c r="T50" i="4" s="1"/>
  <c r="S47" i="4"/>
  <c r="S50" i="4" s="1"/>
  <c r="R47" i="4"/>
  <c r="R50" i="4" s="1"/>
  <c r="Q47" i="4"/>
  <c r="Q50" i="4" s="1"/>
  <c r="P47" i="4"/>
  <c r="P50" i="4" s="1"/>
  <c r="O47" i="4"/>
  <c r="O50" i="4" s="1"/>
  <c r="N47" i="4"/>
  <c r="N50" i="4" s="1"/>
  <c r="M47" i="4"/>
  <c r="M50" i="4" s="1"/>
  <c r="L47" i="4"/>
  <c r="L50" i="4" s="1"/>
  <c r="K47" i="4"/>
  <c r="K50" i="4" s="1"/>
  <c r="J47" i="4"/>
  <c r="J50" i="4" s="1"/>
  <c r="I47" i="4"/>
  <c r="I50" i="4" s="1"/>
  <c r="H47" i="4"/>
  <c r="H50" i="4" s="1"/>
  <c r="G47" i="4"/>
  <c r="G50" i="4" s="1"/>
  <c r="F47" i="4"/>
  <c r="F50" i="4" s="1"/>
  <c r="E47" i="4"/>
  <c r="E50" i="4" s="1"/>
  <c r="D47" i="4"/>
  <c r="D50" i="4" s="1"/>
  <c r="C47" i="4"/>
  <c r="C50" i="4" s="1"/>
  <c r="B47" i="4"/>
  <c r="B48" i="4" s="1"/>
  <c r="B58" i="4" s="1"/>
  <c r="Q2" i="6"/>
  <c r="Q3" i="6"/>
  <c r="P3" i="6"/>
  <c r="O3" i="6"/>
  <c r="N3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7" i="6"/>
  <c r="G6" i="6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B56" i="4" s="1"/>
  <c r="C56" i="4" s="1"/>
  <c r="D56" i="4" s="1"/>
  <c r="E56" i="4" s="1"/>
  <c r="F56" i="4" s="1"/>
  <c r="G56" i="4" s="1"/>
  <c r="H56" i="4" s="1"/>
  <c r="I56" i="4" s="1"/>
  <c r="J56" i="4" s="1"/>
  <c r="K56" i="4" s="1"/>
  <c r="L56" i="4" s="1"/>
  <c r="M56" i="4" s="1"/>
  <c r="N56" i="4" s="1"/>
  <c r="O56" i="4" s="1"/>
  <c r="P56" i="4" s="1"/>
  <c r="Q56" i="4" s="1"/>
  <c r="R56" i="4" s="1"/>
  <c r="S56" i="4" s="1"/>
  <c r="T56" i="4" s="1"/>
  <c r="U56" i="4" s="1"/>
  <c r="V56" i="4" s="1"/>
  <c r="W56" i="4" s="1"/>
  <c r="X56" i="4" s="1"/>
  <c r="Y56" i="4" s="1"/>
  <c r="Z56" i="4" s="1"/>
  <c r="AA56" i="4" s="1"/>
  <c r="AB56" i="4" s="1"/>
  <c r="AC56" i="4" s="1"/>
  <c r="AD56" i="4" s="1"/>
  <c r="AE56" i="4" s="1"/>
  <c r="AF56" i="4" s="1"/>
  <c r="AG56" i="4" s="1"/>
  <c r="AH56" i="4" s="1"/>
  <c r="AI56" i="4" s="1"/>
  <c r="AJ56" i="4" s="1"/>
  <c r="AK56" i="4" s="1"/>
  <c r="AL56" i="4" s="1"/>
  <c r="B55" i="4"/>
  <c r="C55" i="4" s="1"/>
  <c r="D55" i="4" s="1"/>
  <c r="E55" i="4" s="1"/>
  <c r="F55" i="4" s="1"/>
  <c r="G55" i="4" s="1"/>
  <c r="H55" i="4" s="1"/>
  <c r="I55" i="4" s="1"/>
  <c r="J55" i="4" s="1"/>
  <c r="K55" i="4" s="1"/>
  <c r="L55" i="4" s="1"/>
  <c r="M55" i="4" s="1"/>
  <c r="N55" i="4" s="1"/>
  <c r="O55" i="4" s="1"/>
  <c r="P55" i="4" s="1"/>
  <c r="Q55" i="4" s="1"/>
  <c r="R55" i="4" s="1"/>
  <c r="S55" i="4" s="1"/>
  <c r="T55" i="4" s="1"/>
  <c r="U55" i="4" s="1"/>
  <c r="V55" i="4" s="1"/>
  <c r="W55" i="4" s="1"/>
  <c r="X55" i="4" s="1"/>
  <c r="Y55" i="4" s="1"/>
  <c r="Z55" i="4" s="1"/>
  <c r="AA55" i="4" s="1"/>
  <c r="AB55" i="4" s="1"/>
  <c r="AC55" i="4" s="1"/>
  <c r="AD55" i="4" s="1"/>
  <c r="AE55" i="4" s="1"/>
  <c r="AF55" i="4" s="1"/>
  <c r="AG55" i="4" s="1"/>
  <c r="AH55" i="4" s="1"/>
  <c r="AI55" i="4" s="1"/>
  <c r="AJ55" i="4" s="1"/>
  <c r="AK55" i="4" s="1"/>
  <c r="AL55" i="4" s="1"/>
  <c r="B54" i="4"/>
  <c r="C54" i="4" s="1"/>
  <c r="D54" i="4" s="1"/>
  <c r="E54" i="4" s="1"/>
  <c r="F54" i="4" s="1"/>
  <c r="G54" i="4" s="1"/>
  <c r="H54" i="4" s="1"/>
  <c r="I54" i="4" s="1"/>
  <c r="J54" i="4" s="1"/>
  <c r="K54" i="4" s="1"/>
  <c r="L54" i="4" s="1"/>
  <c r="M54" i="4" s="1"/>
  <c r="N54" i="4" s="1"/>
  <c r="O54" i="4" s="1"/>
  <c r="P54" i="4" s="1"/>
  <c r="Q54" i="4" s="1"/>
  <c r="R54" i="4" s="1"/>
  <c r="S54" i="4" s="1"/>
  <c r="T54" i="4" s="1"/>
  <c r="U54" i="4" s="1"/>
  <c r="V54" i="4" s="1"/>
  <c r="W54" i="4" s="1"/>
  <c r="X54" i="4" s="1"/>
  <c r="Y54" i="4" s="1"/>
  <c r="Z54" i="4" s="1"/>
  <c r="AA54" i="4" s="1"/>
  <c r="AB54" i="4" s="1"/>
  <c r="AC54" i="4" s="1"/>
  <c r="AD54" i="4" s="1"/>
  <c r="AE54" i="4" s="1"/>
  <c r="AF54" i="4" s="1"/>
  <c r="AG54" i="4" s="1"/>
  <c r="AH54" i="4" s="1"/>
  <c r="AI54" i="4" s="1"/>
  <c r="AJ54" i="4" s="1"/>
  <c r="AK54" i="4" s="1"/>
  <c r="AL54" i="4" s="1"/>
  <c r="B53" i="4"/>
  <c r="C53" i="4" s="1"/>
  <c r="D53" i="4" s="1"/>
  <c r="E53" i="4" s="1"/>
  <c r="F53" i="4" s="1"/>
  <c r="G53" i="4" s="1"/>
  <c r="H53" i="4" s="1"/>
  <c r="I53" i="4" s="1"/>
  <c r="J53" i="4" s="1"/>
  <c r="K53" i="4" s="1"/>
  <c r="L53" i="4" s="1"/>
  <c r="M53" i="4" s="1"/>
  <c r="N53" i="4" s="1"/>
  <c r="O53" i="4" s="1"/>
  <c r="P53" i="4" s="1"/>
  <c r="Q53" i="4" s="1"/>
  <c r="R53" i="4" s="1"/>
  <c r="S53" i="4" s="1"/>
  <c r="T53" i="4" s="1"/>
  <c r="U53" i="4" s="1"/>
  <c r="V53" i="4" s="1"/>
  <c r="W53" i="4" s="1"/>
  <c r="X53" i="4" s="1"/>
  <c r="Y53" i="4" s="1"/>
  <c r="Z53" i="4" s="1"/>
  <c r="AA53" i="4" s="1"/>
  <c r="AB53" i="4" s="1"/>
  <c r="AC53" i="4" s="1"/>
  <c r="AD53" i="4" s="1"/>
  <c r="AE53" i="4" s="1"/>
  <c r="AF53" i="4" s="1"/>
  <c r="AG53" i="4" s="1"/>
  <c r="AH53" i="4" s="1"/>
  <c r="AI53" i="4" s="1"/>
  <c r="AJ53" i="4" s="1"/>
  <c r="AK53" i="4" s="1"/>
  <c r="AL53" i="4" s="1"/>
  <c r="B52" i="4"/>
  <c r="C52" i="4" s="1"/>
  <c r="D52" i="4" s="1"/>
  <c r="E52" i="4" s="1"/>
  <c r="F52" i="4" s="1"/>
  <c r="G52" i="4" s="1"/>
  <c r="H52" i="4" s="1"/>
  <c r="I52" i="4" s="1"/>
  <c r="J52" i="4" s="1"/>
  <c r="K52" i="4" s="1"/>
  <c r="L52" i="4" s="1"/>
  <c r="M52" i="4" s="1"/>
  <c r="N52" i="4" s="1"/>
  <c r="O52" i="4" s="1"/>
  <c r="P52" i="4" s="1"/>
  <c r="Q52" i="4" s="1"/>
  <c r="R52" i="4" s="1"/>
  <c r="S52" i="4" s="1"/>
  <c r="T52" i="4" s="1"/>
  <c r="U52" i="4" s="1"/>
  <c r="V52" i="4" s="1"/>
  <c r="W52" i="4" s="1"/>
  <c r="X52" i="4" s="1"/>
  <c r="Y52" i="4" s="1"/>
  <c r="Z52" i="4" s="1"/>
  <c r="AA52" i="4" s="1"/>
  <c r="AB52" i="4" s="1"/>
  <c r="AC52" i="4" s="1"/>
  <c r="AD52" i="4" s="1"/>
  <c r="AE52" i="4" s="1"/>
  <c r="AF52" i="4" s="1"/>
  <c r="AG52" i="4" s="1"/>
  <c r="AH52" i="4" s="1"/>
  <c r="AI52" i="4" s="1"/>
  <c r="AJ52" i="4" s="1"/>
  <c r="AK52" i="4" s="1"/>
  <c r="AL52" i="4" s="1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3" i="3"/>
  <c r="K4" i="3"/>
  <c r="K5" i="3"/>
  <c r="K6" i="3"/>
  <c r="K2" i="3"/>
  <c r="W26" i="1" l="1"/>
  <c r="W171" i="1"/>
  <c r="W138" i="1"/>
  <c r="W102" i="1"/>
  <c r="Y102" i="1" s="1"/>
  <c r="W183" i="1"/>
  <c r="W173" i="1"/>
  <c r="W38" i="1"/>
  <c r="W114" i="1"/>
  <c r="Y114" i="1" s="1"/>
  <c r="W60" i="1"/>
  <c r="W75" i="1"/>
  <c r="W204" i="1"/>
  <c r="W65" i="1"/>
  <c r="Y65" i="1" s="1"/>
  <c r="W3" i="1"/>
  <c r="W7" i="1"/>
  <c r="W34" i="1"/>
  <c r="W100" i="1"/>
  <c r="Y101" i="1" s="1"/>
  <c r="W216" i="1"/>
  <c r="W125" i="1"/>
  <c r="W203" i="1"/>
  <c r="W109" i="1"/>
  <c r="Y109" i="1" s="1"/>
  <c r="W200" i="1"/>
  <c r="W73" i="1"/>
  <c r="W68" i="1"/>
  <c r="W192" i="1"/>
  <c r="Y192" i="1" s="1"/>
  <c r="W4" i="1"/>
  <c r="W12" i="1"/>
  <c r="Y12" i="1" s="1"/>
  <c r="W19" i="1"/>
  <c r="W23" i="1"/>
  <c r="W83" i="1"/>
  <c r="W156" i="1"/>
  <c r="W188" i="1"/>
  <c r="W205" i="1"/>
  <c r="Y205" i="1" s="1"/>
  <c r="W123" i="1"/>
  <c r="W162" i="1"/>
  <c r="W90" i="1"/>
  <c r="W61" i="1"/>
  <c r="Y61" i="1" s="1"/>
  <c r="W181" i="1"/>
  <c r="Y182" i="1" s="1"/>
  <c r="W182" i="1"/>
  <c r="Y183" i="1" s="1"/>
  <c r="W131" i="1"/>
  <c r="W48" i="1"/>
  <c r="W142" i="1"/>
  <c r="Y143" i="1" s="1"/>
  <c r="W104" i="1"/>
  <c r="Y104" i="1" s="1"/>
  <c r="W170" i="1"/>
  <c r="W186" i="1"/>
  <c r="W198" i="1"/>
  <c r="W172" i="1"/>
  <c r="Y173" i="1" s="1"/>
  <c r="W94" i="1"/>
  <c r="W141" i="1"/>
  <c r="Y141" i="1" s="1"/>
  <c r="W107" i="1"/>
  <c r="Y107" i="1" s="1"/>
  <c r="W22" i="1"/>
  <c r="W155" i="1"/>
  <c r="W53" i="1"/>
  <c r="W66" i="1"/>
  <c r="Y67" i="1" s="1"/>
  <c r="W39" i="1"/>
  <c r="Y40" i="1" s="1"/>
  <c r="W120" i="1"/>
  <c r="W163" i="1"/>
  <c r="W91" i="1"/>
  <c r="Y91" i="1" s="1"/>
  <c r="W70" i="1"/>
  <c r="W177" i="1"/>
  <c r="Y177" i="1" s="1"/>
  <c r="W178" i="1"/>
  <c r="Y178" i="1" s="1"/>
  <c r="W71" i="1"/>
  <c r="Y71" i="1" s="1"/>
  <c r="W63" i="1"/>
  <c r="Y64" i="1" s="1"/>
  <c r="W212" i="1"/>
  <c r="W210" i="1"/>
  <c r="Y211" i="1" s="1"/>
  <c r="W206" i="1"/>
  <c r="W153" i="1"/>
  <c r="Y154" i="1" s="1"/>
  <c r="Y203" i="1"/>
  <c r="W32" i="1"/>
  <c r="W184" i="1"/>
  <c r="Y184" i="1" s="1"/>
  <c r="W224" i="1"/>
  <c r="W146" i="1"/>
  <c r="W20" i="1"/>
  <c r="Y20" i="1" s="1"/>
  <c r="W51" i="1"/>
  <c r="Y51" i="1" s="1"/>
  <c r="W84" i="1"/>
  <c r="W21" i="1"/>
  <c r="W25" i="1"/>
  <c r="Y26" i="1" s="1"/>
  <c r="W52" i="1"/>
  <c r="Y53" i="1" s="1"/>
  <c r="W29" i="1"/>
  <c r="W85" i="1"/>
  <c r="W185" i="1"/>
  <c r="Y36" i="1"/>
  <c r="Y58" i="1"/>
  <c r="Y121" i="1"/>
  <c r="W86" i="1"/>
  <c r="Y86" i="1" s="1"/>
  <c r="W133" i="1"/>
  <c r="W77" i="1"/>
  <c r="W211" i="1"/>
  <c r="W149" i="1"/>
  <c r="Y149" i="1" s="1"/>
  <c r="W110" i="1"/>
  <c r="W6" i="1"/>
  <c r="W14" i="1"/>
  <c r="W150" i="1"/>
  <c r="Y150" i="1" s="1"/>
  <c r="W74" i="1"/>
  <c r="Y74" i="1" s="1"/>
  <c r="W157" i="1"/>
  <c r="W55" i="1"/>
  <c r="W97" i="1"/>
  <c r="W174" i="1"/>
  <c r="Y174" i="1" s="1"/>
  <c r="W197" i="1"/>
  <c r="W222" i="1"/>
  <c r="W82" i="1"/>
  <c r="W24" i="1"/>
  <c r="W28" i="1"/>
  <c r="W117" i="1"/>
  <c r="Y56" i="1"/>
  <c r="W129" i="1"/>
  <c r="W175" i="1"/>
  <c r="Y176" i="1" s="1"/>
  <c r="Y204" i="1"/>
  <c r="W30" i="1"/>
  <c r="W159" i="1"/>
  <c r="Y160" i="1" s="1"/>
  <c r="W132" i="1"/>
  <c r="Y132" i="1" s="1"/>
  <c r="W213" i="1"/>
  <c r="W50" i="1"/>
  <c r="W118" i="1"/>
  <c r="Y118" i="1" s="1"/>
  <c r="W115" i="1"/>
  <c r="Y116" i="1" s="1"/>
  <c r="W27" i="1"/>
  <c r="Y27" i="1" s="1"/>
  <c r="W54" i="1"/>
  <c r="W33" i="1"/>
  <c r="Y34" i="1" s="1"/>
  <c r="W98" i="1"/>
  <c r="W187" i="1"/>
  <c r="Y187" i="1" s="1"/>
  <c r="W92" i="1"/>
  <c r="W165" i="1"/>
  <c r="Y165" i="1" s="1"/>
  <c r="W166" i="1"/>
  <c r="W167" i="1"/>
  <c r="W168" i="1"/>
  <c r="W219" i="1"/>
  <c r="W220" i="1"/>
  <c r="W139" i="1"/>
  <c r="Y140" i="1" s="1"/>
  <c r="W80" i="1"/>
  <c r="W127" i="1"/>
  <c r="Y127" i="1" s="1"/>
  <c r="W179" i="1"/>
  <c r="W158" i="1"/>
  <c r="W214" i="1"/>
  <c r="W208" i="1"/>
  <c r="Y209" i="1" s="1"/>
  <c r="W119" i="1"/>
  <c r="Y120" i="1" s="1"/>
  <c r="W189" i="1"/>
  <c r="Y190" i="1" s="1"/>
  <c r="W201" i="1"/>
  <c r="W59" i="1"/>
  <c r="Y59" i="1" s="1"/>
  <c r="W122" i="1"/>
  <c r="W161" i="1"/>
  <c r="Y161" i="1" s="1"/>
  <c r="Y138" i="1"/>
  <c r="W112" i="1"/>
  <c r="Y112" i="1" s="1"/>
  <c r="W47" i="1"/>
  <c r="Y48" i="1" s="1"/>
  <c r="W196" i="1"/>
  <c r="W128" i="1"/>
  <c r="Y128" i="1" s="1"/>
  <c r="W81" i="1"/>
  <c r="W145" i="1"/>
  <c r="Y145" i="1" s="1"/>
  <c r="W207" i="1"/>
  <c r="W215" i="1"/>
  <c r="Y216" i="1" s="1"/>
  <c r="W180" i="1"/>
  <c r="W199" i="1"/>
  <c r="W217" i="1"/>
  <c r="Y217" i="1" s="1"/>
  <c r="W136" i="1"/>
  <c r="Y137" i="1" s="1"/>
  <c r="W134" i="1"/>
  <c r="W62" i="1"/>
  <c r="Y62" i="1" s="1"/>
  <c r="W130" i="1"/>
  <c r="W152" i="1"/>
  <c r="Y153" i="1" s="1"/>
  <c r="W169" i="1"/>
  <c r="Y169" i="1" s="1"/>
  <c r="W5" i="1"/>
  <c r="W9" i="1"/>
  <c r="W13" i="1"/>
  <c r="W31" i="1"/>
  <c r="Y31" i="1" s="1"/>
  <c r="W87" i="1"/>
  <c r="Y87" i="1" s="1"/>
  <c r="W69" i="1"/>
  <c r="W37" i="1"/>
  <c r="Y37" i="1" s="1"/>
  <c r="W41" i="1"/>
  <c r="W79" i="1"/>
  <c r="Y80" i="1" s="1"/>
  <c r="W225" i="1"/>
  <c r="W124" i="1"/>
  <c r="Y125" i="1" s="1"/>
  <c r="Y148" i="1"/>
  <c r="W45" i="1"/>
  <c r="Y46" i="1" s="1"/>
  <c r="W72" i="1"/>
  <c r="Y73" i="1" s="1"/>
  <c r="W76" i="1"/>
  <c r="Y77" i="1" s="1"/>
  <c r="W143" i="1"/>
  <c r="Y144" i="1" s="1"/>
  <c r="W194" i="1"/>
  <c r="Y194" i="1" s="1"/>
  <c r="W105" i="1"/>
  <c r="Y106" i="1" s="1"/>
  <c r="W49" i="1"/>
  <c r="Y50" i="1" s="1"/>
  <c r="W96" i="1"/>
  <c r="W78" i="1"/>
  <c r="Y78" i="1" s="1"/>
  <c r="W151" i="1"/>
  <c r="W135" i="1"/>
  <c r="W218" i="1"/>
  <c r="Y218" i="1" s="1"/>
  <c r="W42" i="1"/>
  <c r="Y42" i="1" s="1"/>
  <c r="Y89" i="1"/>
  <c r="Y95" i="1"/>
  <c r="Y197" i="1"/>
  <c r="Y18" i="1"/>
  <c r="Y14" i="1"/>
  <c r="Y155" i="1"/>
  <c r="Y10" i="1"/>
  <c r="Y170" i="1"/>
  <c r="Y60" i="1"/>
  <c r="W2" i="1"/>
  <c r="Y2" i="1" s="1"/>
  <c r="Y126" i="1"/>
  <c r="Y68" i="1"/>
  <c r="Y224" i="1"/>
  <c r="Y93" i="1"/>
  <c r="Y164" i="1"/>
  <c r="Y222" i="1"/>
  <c r="Y191" i="1"/>
  <c r="Y147" i="1"/>
  <c r="Y94" i="1"/>
  <c r="Y16" i="1"/>
  <c r="Y17" i="1"/>
  <c r="Y8" i="1"/>
  <c r="Y9" i="1"/>
  <c r="Y4" i="1"/>
  <c r="Y15" i="1"/>
  <c r="Y103" i="1"/>
  <c r="Y223" i="1"/>
  <c r="Y90" i="1"/>
  <c r="Y41" i="1"/>
  <c r="Y111" i="1"/>
  <c r="Y19" i="1"/>
  <c r="Y11" i="1"/>
  <c r="Y171" i="1"/>
  <c r="Y202" i="1"/>
  <c r="Y198" i="1"/>
  <c r="Y96" i="1"/>
  <c r="Y7" i="1"/>
  <c r="Y117" i="1"/>
  <c r="Y44" i="1"/>
  <c r="Y108" i="1"/>
  <c r="Y196" i="1"/>
  <c r="Y139" i="1"/>
  <c r="Y35" i="1"/>
  <c r="Y57" i="1"/>
  <c r="Y172" i="1"/>
  <c r="Y219" i="1"/>
  <c r="Y156" i="1"/>
  <c r="Y115" i="1"/>
  <c r="Y212" i="1"/>
  <c r="Y226" i="1"/>
  <c r="B49" i="4"/>
  <c r="B59" i="4" s="1"/>
  <c r="E48" i="4"/>
  <c r="I48" i="4"/>
  <c r="M48" i="4"/>
  <c r="Q48" i="4"/>
  <c r="U48" i="4"/>
  <c r="Y48" i="4"/>
  <c r="AC48" i="4"/>
  <c r="AG48" i="4"/>
  <c r="AK48" i="4"/>
  <c r="E49" i="4"/>
  <c r="I49" i="4"/>
  <c r="M49" i="4"/>
  <c r="Q49" i="4"/>
  <c r="U49" i="4"/>
  <c r="Y49" i="4"/>
  <c r="AC49" i="4"/>
  <c r="AG49" i="4"/>
  <c r="AK49" i="4"/>
  <c r="B50" i="4"/>
  <c r="B60" i="4" s="1"/>
  <c r="C60" i="4" s="1"/>
  <c r="D60" i="4" s="1"/>
  <c r="E60" i="4" s="1"/>
  <c r="F60" i="4" s="1"/>
  <c r="G60" i="4" s="1"/>
  <c r="H60" i="4" s="1"/>
  <c r="I60" i="4" s="1"/>
  <c r="J60" i="4" s="1"/>
  <c r="K60" i="4" s="1"/>
  <c r="L60" i="4" s="1"/>
  <c r="M60" i="4" s="1"/>
  <c r="N60" i="4" s="1"/>
  <c r="O60" i="4" s="1"/>
  <c r="P60" i="4" s="1"/>
  <c r="Q60" i="4" s="1"/>
  <c r="R60" i="4" s="1"/>
  <c r="S60" i="4" s="1"/>
  <c r="T60" i="4" s="1"/>
  <c r="U60" i="4" s="1"/>
  <c r="V60" i="4" s="1"/>
  <c r="W60" i="4" s="1"/>
  <c r="X60" i="4" s="1"/>
  <c r="Y60" i="4" s="1"/>
  <c r="Z60" i="4" s="1"/>
  <c r="AA60" i="4" s="1"/>
  <c r="AB60" i="4" s="1"/>
  <c r="AC60" i="4" s="1"/>
  <c r="AD60" i="4" s="1"/>
  <c r="AE60" i="4" s="1"/>
  <c r="AF60" i="4" s="1"/>
  <c r="AG60" i="4" s="1"/>
  <c r="AH60" i="4" s="1"/>
  <c r="AI60" i="4" s="1"/>
  <c r="AJ60" i="4" s="1"/>
  <c r="AK60" i="4" s="1"/>
  <c r="AL60" i="4" s="1"/>
  <c r="F48" i="4"/>
  <c r="J48" i="4"/>
  <c r="N48" i="4"/>
  <c r="R48" i="4"/>
  <c r="V48" i="4"/>
  <c r="Z48" i="4"/>
  <c r="AD48" i="4"/>
  <c r="AH48" i="4"/>
  <c r="AL48" i="4"/>
  <c r="F49" i="4"/>
  <c r="J49" i="4"/>
  <c r="N49" i="4"/>
  <c r="R49" i="4"/>
  <c r="V49" i="4"/>
  <c r="Z49" i="4"/>
  <c r="AD49" i="4"/>
  <c r="AH49" i="4"/>
  <c r="AL49" i="4"/>
  <c r="C48" i="4"/>
  <c r="C58" i="4" s="1"/>
  <c r="D58" i="4" s="1"/>
  <c r="E58" i="4" s="1"/>
  <c r="F58" i="4" s="1"/>
  <c r="G58" i="4" s="1"/>
  <c r="H58" i="4" s="1"/>
  <c r="I58" i="4" s="1"/>
  <c r="J58" i="4" s="1"/>
  <c r="K58" i="4" s="1"/>
  <c r="L58" i="4" s="1"/>
  <c r="M58" i="4" s="1"/>
  <c r="N58" i="4" s="1"/>
  <c r="O58" i="4" s="1"/>
  <c r="P58" i="4" s="1"/>
  <c r="Q58" i="4" s="1"/>
  <c r="R58" i="4" s="1"/>
  <c r="S58" i="4" s="1"/>
  <c r="T58" i="4" s="1"/>
  <c r="U58" i="4" s="1"/>
  <c r="V58" i="4" s="1"/>
  <c r="W58" i="4" s="1"/>
  <c r="X58" i="4" s="1"/>
  <c r="Y58" i="4" s="1"/>
  <c r="Z58" i="4" s="1"/>
  <c r="AA58" i="4" s="1"/>
  <c r="AB58" i="4" s="1"/>
  <c r="AC58" i="4" s="1"/>
  <c r="AD58" i="4" s="1"/>
  <c r="AE58" i="4" s="1"/>
  <c r="AF58" i="4" s="1"/>
  <c r="AG58" i="4" s="1"/>
  <c r="AH58" i="4" s="1"/>
  <c r="AI58" i="4" s="1"/>
  <c r="AJ58" i="4" s="1"/>
  <c r="AK58" i="4" s="1"/>
  <c r="AL58" i="4" s="1"/>
  <c r="G48" i="4"/>
  <c r="K48" i="4"/>
  <c r="O48" i="4"/>
  <c r="S48" i="4"/>
  <c r="W48" i="4"/>
  <c r="AA48" i="4"/>
  <c r="AE48" i="4"/>
  <c r="AI48" i="4"/>
  <c r="C49" i="4"/>
  <c r="G49" i="4"/>
  <c r="K49" i="4"/>
  <c r="O49" i="4"/>
  <c r="S49" i="4"/>
  <c r="W49" i="4"/>
  <c r="AA49" i="4"/>
  <c r="AE49" i="4"/>
  <c r="AI49" i="4"/>
  <c r="D48" i="4"/>
  <c r="H48" i="4"/>
  <c r="L48" i="4"/>
  <c r="P48" i="4"/>
  <c r="T48" i="4"/>
  <c r="X48" i="4"/>
  <c r="AB48" i="4"/>
  <c r="AF48" i="4"/>
  <c r="AJ48" i="4"/>
  <c r="D49" i="4"/>
  <c r="H49" i="4"/>
  <c r="L49" i="4"/>
  <c r="P49" i="4"/>
  <c r="T49" i="4"/>
  <c r="X49" i="4"/>
  <c r="AB49" i="4"/>
  <c r="AF49" i="4"/>
  <c r="AJ49" i="4"/>
  <c r="Y201" i="1" l="1"/>
  <c r="Y82" i="1"/>
  <c r="Y97" i="1"/>
  <c r="Y185" i="1"/>
  <c r="Y54" i="1"/>
  <c r="Y186" i="1"/>
  <c r="Y49" i="1"/>
  <c r="Y24" i="1"/>
  <c r="Y181" i="1"/>
  <c r="Y72" i="1"/>
  <c r="Y52" i="1"/>
  <c r="Y38" i="1"/>
  <c r="Y5" i="1"/>
  <c r="Y200" i="1"/>
  <c r="Y159" i="1"/>
  <c r="Y167" i="1"/>
  <c r="Y214" i="1"/>
  <c r="Y124" i="1"/>
  <c r="Y92" i="1"/>
  <c r="Y134" i="1"/>
  <c r="Y123" i="1"/>
  <c r="Y84" i="1"/>
  <c r="Y100" i="1"/>
  <c r="Y210" i="1"/>
  <c r="Y63" i="1"/>
  <c r="Y66" i="1"/>
  <c r="Y206" i="1"/>
  <c r="Y180" i="1"/>
  <c r="Y166" i="1"/>
  <c r="Y21" i="1"/>
  <c r="Y28" i="1"/>
  <c r="Y146" i="1"/>
  <c r="Y193" i="1"/>
  <c r="Y142" i="1"/>
  <c r="Y29" i="1"/>
  <c r="Y23" i="1"/>
  <c r="Y163" i="1"/>
  <c r="Y25" i="1"/>
  <c r="Y110" i="1"/>
  <c r="Y45" i="1"/>
  <c r="Y88" i="1"/>
  <c r="Y83" i="1"/>
  <c r="Y98" i="1"/>
  <c r="Y47" i="1"/>
  <c r="Y158" i="1"/>
  <c r="Y215" i="1"/>
  <c r="Y79" i="1"/>
  <c r="Y195" i="1"/>
  <c r="Y32" i="1"/>
  <c r="Y162" i="1"/>
  <c r="Y136" i="1"/>
  <c r="Y13" i="1"/>
  <c r="Y22" i="1"/>
  <c r="Y157" i="1"/>
  <c r="Y6" i="1"/>
  <c r="Y39" i="1"/>
  <c r="Y189" i="1"/>
  <c r="Y152" i="1"/>
  <c r="Y105" i="1"/>
  <c r="Y225" i="1"/>
  <c r="Y70" i="1"/>
  <c r="Y55" i="1"/>
  <c r="Y129" i="1"/>
  <c r="Y133" i="1"/>
  <c r="Y85" i="1"/>
  <c r="Y122" i="1"/>
  <c r="Y33" i="1"/>
  <c r="Y175" i="1"/>
  <c r="Y69" i="1"/>
  <c r="Y179" i="1"/>
  <c r="Y75" i="1"/>
  <c r="Y113" i="1"/>
  <c r="Y213" i="1"/>
  <c r="Y99" i="1"/>
  <c r="Y199" i="1"/>
  <c r="Y208" i="1"/>
  <c r="Y135" i="1"/>
  <c r="Y130" i="1"/>
  <c r="Y30" i="1"/>
  <c r="Y43" i="1"/>
  <c r="Y131" i="1"/>
  <c r="Y168" i="1"/>
  <c r="Y3" i="1"/>
  <c r="Y76" i="1"/>
  <c r="Y151" i="1"/>
  <c r="Y188" i="1"/>
  <c r="Y207" i="1"/>
  <c r="Y81" i="1"/>
  <c r="Y221" i="1"/>
  <c r="Y220" i="1"/>
  <c r="Y119" i="1"/>
  <c r="C59" i="4"/>
  <c r="D59" i="4" s="1"/>
  <c r="E59" i="4" s="1"/>
  <c r="F59" i="4" s="1"/>
  <c r="G59" i="4" s="1"/>
  <c r="H59" i="4" s="1"/>
  <c r="I59" i="4" s="1"/>
  <c r="J59" i="4" s="1"/>
  <c r="K59" i="4" s="1"/>
  <c r="L59" i="4" s="1"/>
  <c r="M59" i="4" s="1"/>
  <c r="N59" i="4" s="1"/>
  <c r="O59" i="4" s="1"/>
  <c r="P59" i="4" s="1"/>
  <c r="Q59" i="4" s="1"/>
  <c r="R59" i="4" s="1"/>
  <c r="S59" i="4" s="1"/>
  <c r="T59" i="4" s="1"/>
  <c r="U59" i="4" s="1"/>
  <c r="V59" i="4" s="1"/>
  <c r="W59" i="4" s="1"/>
  <c r="X59" i="4" s="1"/>
  <c r="Y59" i="4" s="1"/>
  <c r="Z59" i="4" s="1"/>
  <c r="AA59" i="4" s="1"/>
  <c r="AB59" i="4" s="1"/>
  <c r="AC59" i="4" s="1"/>
  <c r="AD59" i="4" s="1"/>
  <c r="AE59" i="4" s="1"/>
  <c r="AF59" i="4" s="1"/>
  <c r="AG59" i="4" s="1"/>
  <c r="AH59" i="4" s="1"/>
  <c r="AI59" i="4" s="1"/>
  <c r="AJ59" i="4" s="1"/>
  <c r="AK59" i="4" s="1"/>
  <c r="AL59" i="4" s="1"/>
</calcChain>
</file>

<file path=xl/sharedStrings.xml><?xml version="1.0" encoding="utf-8"?>
<sst xmlns="http://schemas.openxmlformats.org/spreadsheetml/2006/main" count="1134" uniqueCount="154">
  <si>
    <t>r</t>
  </si>
  <si>
    <t>g</t>
  </si>
  <si>
    <t>b</t>
  </si>
  <si>
    <t>PMD Colors</t>
  </si>
  <si>
    <t>i1</t>
  </si>
  <si>
    <t>i2</t>
  </si>
  <si>
    <t>id</t>
  </si>
  <si>
    <t>col1</t>
  </si>
  <si>
    <t>col2</t>
  </si>
  <si>
    <t>rgb1</t>
  </si>
  <si>
    <t>rgb2</t>
  </si>
  <si>
    <t>0</t>
  </si>
  <si>
    <t>7F</t>
  </si>
  <si>
    <t>3F</t>
  </si>
  <si>
    <t>7F8000</t>
  </si>
  <si>
    <t>3FC000</t>
  </si>
  <si>
    <t>7F807F</t>
  </si>
  <si>
    <t>3FC03F</t>
  </si>
  <si>
    <t>7F80</t>
  </si>
  <si>
    <t>3FC0</t>
  </si>
  <si>
    <t>FF</t>
  </si>
  <si>
    <t>FF0000</t>
  </si>
  <si>
    <t>FF00FF</t>
  </si>
  <si>
    <t>FF00</t>
  </si>
  <si>
    <t>3FC07F</t>
  </si>
  <si>
    <t>3FFF</t>
  </si>
  <si>
    <t>7F803F</t>
  </si>
  <si>
    <t>3FFFC0</t>
  </si>
  <si>
    <t>3FFFFF</t>
  </si>
  <si>
    <t>BF</t>
  </si>
  <si>
    <t>7F80BF</t>
  </si>
  <si>
    <t>7FBF</t>
  </si>
  <si>
    <t>BF4000</t>
  </si>
  <si>
    <t>BF407F</t>
  </si>
  <si>
    <t>403F80</t>
  </si>
  <si>
    <t>3FC0BF</t>
  </si>
  <si>
    <t>BF403F</t>
  </si>
  <si>
    <t>BF40BF</t>
  </si>
  <si>
    <t>403FBF</t>
  </si>
  <si>
    <t>403F</t>
  </si>
  <si>
    <t>7FBFC0</t>
  </si>
  <si>
    <t>7FC03F</t>
  </si>
  <si>
    <t>BF40</t>
  </si>
  <si>
    <t>7F80FF</t>
  </si>
  <si>
    <t>7FFF</t>
  </si>
  <si>
    <t>FF007F</t>
  </si>
  <si>
    <t>7FFF80</t>
  </si>
  <si>
    <t>7FFFFF</t>
  </si>
  <si>
    <t>res</t>
  </si>
  <si>
    <t>uniq</t>
  </si>
  <si>
    <t>id0</t>
  </si>
  <si>
    <t>x=0;</t>
  </si>
  <si>
    <t>for (i=0; i&lt;3; i++) {</t>
  </si>
  <si>
    <t xml:space="preserve"> for (j=0; j&lt;3; j++) {</t>
  </si>
  <si>
    <t xml:space="preserve">  for (a=0; a&lt;=4; a++) {</t>
  </si>
  <si>
    <t xml:space="preserve">   for (b=0; b&lt;=4; b++) {</t>
  </si>
  <si>
    <t xml:space="preserve">    setResult("id",x,x);</t>
  </si>
  <si>
    <t xml:space="preserve">    setResult("col1",x,b);</t>
  </si>
  <si>
    <t xml:space="preserve">    setResult("col2",x,a);</t>
  </si>
  <si>
    <t xml:space="preserve">    setResult("i1",x,j);</t>
  </si>
  <si>
    <t xml:space="preserve">    setResult("i2",x,i);</t>
  </si>
  <si>
    <t xml:space="preserve">    x++;</t>
  </si>
  <si>
    <t xml:space="preserve">   }</t>
  </si>
  <si>
    <t xml:space="preserve">  }</t>
  </si>
  <si>
    <t xml:space="preserve"> }</t>
  </si>
  <si>
    <t>}</t>
  </si>
  <si>
    <t>updateResults;</t>
  </si>
  <si>
    <t>newArray(</t>
  </si>
  <si>
    <t>resdec</t>
  </si>
  <si>
    <t>p1</t>
  </si>
  <si>
    <t>p2</t>
  </si>
  <si>
    <t>p3</t>
  </si>
  <si>
    <t>ff0000</t>
  </si>
  <si>
    <t>avg</t>
  </si>
  <si>
    <t>000000</t>
  </si>
  <si>
    <t>00003F</t>
  </si>
  <si>
    <t>003FFF</t>
  </si>
  <si>
    <t>00007F</t>
  </si>
  <si>
    <t>007F80</t>
  </si>
  <si>
    <t>007FBF</t>
  </si>
  <si>
    <t>007FFF</t>
  </si>
  <si>
    <t>0000BF</t>
  </si>
  <si>
    <t>0000FF</t>
  </si>
  <si>
    <t>00FF00</t>
  </si>
  <si>
    <t>rgb1h</t>
  </si>
  <si>
    <t>rgb2h</t>
  </si>
  <si>
    <t>rgbavg</t>
  </si>
  <si>
    <t>rgbavgh</t>
  </si>
  <si>
    <t>Grand Total</t>
  </si>
  <si>
    <t>Count of rgbavg</t>
  </si>
  <si>
    <t>7f0000</t>
  </si>
  <si>
    <t>7f007f</t>
  </si>
  <si>
    <t>007f00</t>
  </si>
  <si>
    <t>3F8000</t>
  </si>
  <si>
    <t>3F803F</t>
  </si>
  <si>
    <t>3F80</t>
  </si>
  <si>
    <t>3F807F</t>
  </si>
  <si>
    <t>3FBF</t>
  </si>
  <si>
    <t>7F0000</t>
  </si>
  <si>
    <t>7F003F</t>
  </si>
  <si>
    <t>3FBF80</t>
  </si>
  <si>
    <t>7F007F</t>
  </si>
  <si>
    <t>3FBFBF</t>
  </si>
  <si>
    <t>7F00</t>
  </si>
  <si>
    <t>BF0000</t>
  </si>
  <si>
    <t>BF007F</t>
  </si>
  <si>
    <t>3FFF80</t>
  </si>
  <si>
    <t>3F80BF</t>
  </si>
  <si>
    <t>BF003F</t>
  </si>
  <si>
    <t>BF00BF</t>
  </si>
  <si>
    <t>3FFFBF</t>
  </si>
  <si>
    <t>7FBF80</t>
  </si>
  <si>
    <t>7FBFFF</t>
  </si>
  <si>
    <t>BF00</t>
  </si>
  <si>
    <t>003F80</t>
  </si>
  <si>
    <t>003FBF</t>
  </si>
  <si>
    <t>007F00</t>
  </si>
  <si>
    <t>00BF00</t>
  </si>
  <si>
    <t>rh</t>
  </si>
  <si>
    <t>gh</t>
  </si>
  <si>
    <t>bh</t>
  </si>
  <si>
    <t>r1</t>
  </si>
  <si>
    <t>g1</t>
  </si>
  <si>
    <t>b1</t>
  </si>
  <si>
    <t>r2</t>
  </si>
  <si>
    <t>g2</t>
  </si>
  <si>
    <t>b2</t>
  </si>
  <si>
    <t>ra</t>
  </si>
  <si>
    <t>ba</t>
  </si>
  <si>
    <t>ga</t>
  </si>
  <si>
    <t>rgb</t>
  </si>
  <si>
    <t>003F00</t>
  </si>
  <si>
    <t>003F3F</t>
  </si>
  <si>
    <t>003F7F</t>
  </si>
  <si>
    <t>007F3F</t>
  </si>
  <si>
    <t>007F7F</t>
  </si>
  <si>
    <t>3F3F3F</t>
  </si>
  <si>
    <t>3F7F3F</t>
  </si>
  <si>
    <t>7F3F7F</t>
  </si>
  <si>
    <t>7F7F7F</t>
  </si>
  <si>
    <t>c1</t>
  </si>
  <si>
    <t>c2</t>
  </si>
  <si>
    <t>rgba</t>
  </si>
  <si>
    <t>3F0000</t>
  </si>
  <si>
    <t>3F003F</t>
  </si>
  <si>
    <t>3F007F</t>
  </si>
  <si>
    <t>3F00BF</t>
  </si>
  <si>
    <t>3F3F00</t>
  </si>
  <si>
    <t>3F7F00</t>
  </si>
  <si>
    <t>7F00BF</t>
  </si>
  <si>
    <t>7F00FF</t>
  </si>
  <si>
    <t>7F3F00</t>
  </si>
  <si>
    <t>7F7F00</t>
  </si>
  <si>
    <t>chess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</si>
</sst>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238"/>
      <scheme val="minor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5" borderId="0" xfId="0" applyFill="1" applyAlignment="1">
      <alignment horizontal="right"/>
    </xf>
    <xf numFmtId="0" fontId="0" fillId="6" borderId="0" xfId="0" applyFill="1" applyAlignment="1">
      <alignment horizontal="right"/>
    </xf>
    <xf numFmtId="0" fontId="0" fillId="7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an Palenicek" refreshedDate="42844.872370023149" createdVersion="6" refreshedVersion="6" minRefreshableVersion="3" recordCount="225">
  <cacheSource type="worksheet">
    <worksheetSource ref="A1:K226" sheet="Sheet7"/>
  </cacheSource>
  <cacheFields count="11">
    <cacheField name="id" numFmtId="0">
      <sharedItems containsSemiMixedTypes="0" containsString="0" containsNumber="1" containsInteger="1" minValue="0" maxValue="224"/>
    </cacheField>
    <cacheField name="col1" numFmtId="0">
      <sharedItems containsSemiMixedTypes="0" containsString="0" containsNumber="1" containsInteger="1" minValue="0" maxValue="4"/>
    </cacheField>
    <cacheField name="col2" numFmtId="0">
      <sharedItems containsSemiMixedTypes="0" containsString="0" containsNumber="1" containsInteger="1" minValue="0" maxValue="4"/>
    </cacheField>
    <cacheField name="i1" numFmtId="0">
      <sharedItems containsSemiMixedTypes="0" containsString="0" containsNumber="1" containsInteger="1" minValue="0" maxValue="2"/>
    </cacheField>
    <cacheField name="i2" numFmtId="0">
      <sharedItems containsSemiMixedTypes="0" containsString="0" containsNumber="1" containsInteger="1" minValue="0" maxValue="2"/>
    </cacheField>
    <cacheField name="rgb1h" numFmtId="0">
      <sharedItems containsMixedTypes="1" containsNumber="1" containsInteger="1" minValue="0" maxValue="0"/>
    </cacheField>
    <cacheField name="rgb2h" numFmtId="0">
      <sharedItems containsMixedTypes="1" containsNumber="1" containsInteger="1" minValue="0" maxValue="0"/>
    </cacheField>
    <cacheField name="rgb1" numFmtId="0">
      <sharedItems containsSemiMixedTypes="0" containsString="0" containsNumber="1" containsInteger="1" minValue="0" maxValue="16711935"/>
    </cacheField>
    <cacheField name="rgb2" numFmtId="0">
      <sharedItems containsSemiMixedTypes="0" containsString="0" containsNumber="1" containsInteger="1" minValue="0" maxValue="16711935"/>
    </cacheField>
    <cacheField name="rgbavg" numFmtId="0">
      <sharedItems/>
    </cacheField>
    <cacheField name="rgbavgh" numFmtId="0">
      <sharedItems count="58">
        <s v="000000"/>
        <s v="00003F"/>
        <s v="3F8000"/>
        <s v="3F803F"/>
        <s v="003F80"/>
        <s v="00007F"/>
        <s v="7F8000"/>
        <s v="7F807F"/>
        <s v="007F80"/>
        <s v="3F807F"/>
        <s v="003FBF"/>
        <s v="7F0000"/>
        <s v="7F003F"/>
        <s v="3FBF80"/>
        <s v="7F007F"/>
        <s v="3FBFBF"/>
        <s v="007F00"/>
        <s v="0000BF"/>
        <s v="7F803F"/>
        <s v="7F80BF"/>
        <s v="007FBF"/>
        <s v="BF0000"/>
        <s v="BF007F"/>
        <s v="3FFF80"/>
        <s v="3F80BF"/>
        <s v="BF003F"/>
        <s v="BF00BF"/>
        <s v="3FFFBF"/>
        <s v="003FFF"/>
        <s v="7FBF80"/>
        <s v="7FBFFF"/>
        <s v="00BF00"/>
        <s v="0000FF"/>
        <s v="7F80FF"/>
        <s v="007FFF"/>
        <s v="FF0000"/>
        <s v="FF007F"/>
        <s v="7FFF80"/>
        <s v="FF00FF"/>
        <s v="7FFFFF"/>
        <s v="00FF00"/>
        <s v="3FC0BF" u="1"/>
        <s v="7FC03F" u="1"/>
        <s v="00403F" u="1"/>
        <s v="BF403F" u="1"/>
        <s v="3FFFFF" u="1"/>
        <s v="00BF40" u="1"/>
        <s v="3FC03F" u="1"/>
        <s v="403FBF" u="1"/>
        <s v="7FBFC0" u="1"/>
        <s v="003FC0" u="1"/>
        <s v="BF407F" u="1"/>
        <s v="3FC07F" u="1"/>
        <s v="BF4000" u="1"/>
        <s v="3FFFC0" u="1"/>
        <s v="3FC000" u="1"/>
        <s v="BF40BF" u="1"/>
        <s v="403F8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5">
  <r>
    <n v="0"/>
    <n v="0"/>
    <n v="0"/>
    <n v="0"/>
    <n v="0"/>
    <n v="0"/>
    <n v="0"/>
    <n v="0"/>
    <n v="0"/>
    <s v="0"/>
    <x v="0"/>
  </r>
  <r>
    <n v="1"/>
    <n v="1"/>
    <n v="0"/>
    <n v="0"/>
    <n v="0"/>
    <n v="0"/>
    <n v="0"/>
    <n v="0"/>
    <n v="0"/>
    <s v="0"/>
    <x v="0"/>
  </r>
  <r>
    <n v="2"/>
    <n v="2"/>
    <n v="0"/>
    <n v="0"/>
    <n v="0"/>
    <n v="0"/>
    <n v="0"/>
    <n v="0"/>
    <n v="0"/>
    <s v="0"/>
    <x v="0"/>
  </r>
  <r>
    <n v="3"/>
    <n v="3"/>
    <n v="0"/>
    <n v="0"/>
    <n v="0"/>
    <n v="0"/>
    <n v="0"/>
    <n v="0"/>
    <n v="0"/>
    <s v="0"/>
    <x v="0"/>
  </r>
  <r>
    <n v="4"/>
    <n v="4"/>
    <n v="0"/>
    <n v="0"/>
    <n v="0"/>
    <n v="0"/>
    <n v="0"/>
    <n v="0"/>
    <n v="0"/>
    <s v="0"/>
    <x v="0"/>
  </r>
  <r>
    <n v="5"/>
    <n v="0"/>
    <n v="1"/>
    <n v="0"/>
    <n v="0"/>
    <n v="0"/>
    <n v="0"/>
    <n v="0"/>
    <n v="0"/>
    <s v="0"/>
    <x v="0"/>
  </r>
  <r>
    <n v="6"/>
    <n v="1"/>
    <n v="1"/>
    <n v="0"/>
    <n v="0"/>
    <n v="0"/>
    <n v="0"/>
    <n v="0"/>
    <n v="0"/>
    <s v="0"/>
    <x v="0"/>
  </r>
  <r>
    <n v="7"/>
    <n v="2"/>
    <n v="1"/>
    <n v="0"/>
    <n v="0"/>
    <n v="0"/>
    <n v="0"/>
    <n v="0"/>
    <n v="0"/>
    <s v="0"/>
    <x v="0"/>
  </r>
  <r>
    <n v="8"/>
    <n v="3"/>
    <n v="1"/>
    <n v="0"/>
    <n v="0"/>
    <n v="0"/>
    <n v="0"/>
    <n v="0"/>
    <n v="0"/>
    <s v="0"/>
    <x v="0"/>
  </r>
  <r>
    <n v="9"/>
    <n v="4"/>
    <n v="1"/>
    <n v="0"/>
    <n v="0"/>
    <n v="0"/>
    <n v="0"/>
    <n v="0"/>
    <n v="0"/>
    <s v="0"/>
    <x v="0"/>
  </r>
  <r>
    <n v="10"/>
    <n v="0"/>
    <n v="2"/>
    <n v="0"/>
    <n v="0"/>
    <n v="0"/>
    <n v="0"/>
    <n v="0"/>
    <n v="0"/>
    <s v="0"/>
    <x v="0"/>
  </r>
  <r>
    <n v="11"/>
    <n v="1"/>
    <n v="2"/>
    <n v="0"/>
    <n v="0"/>
    <n v="0"/>
    <n v="0"/>
    <n v="0"/>
    <n v="0"/>
    <s v="0"/>
    <x v="0"/>
  </r>
  <r>
    <n v="12"/>
    <n v="2"/>
    <n v="2"/>
    <n v="0"/>
    <n v="0"/>
    <n v="0"/>
    <n v="0"/>
    <n v="0"/>
    <n v="0"/>
    <s v="0"/>
    <x v="0"/>
  </r>
  <r>
    <n v="13"/>
    <n v="3"/>
    <n v="2"/>
    <n v="0"/>
    <n v="0"/>
    <n v="0"/>
    <n v="0"/>
    <n v="0"/>
    <n v="0"/>
    <s v="0"/>
    <x v="0"/>
  </r>
  <r>
    <n v="14"/>
    <n v="4"/>
    <n v="2"/>
    <n v="0"/>
    <n v="0"/>
    <n v="0"/>
    <n v="0"/>
    <n v="0"/>
    <n v="0"/>
    <s v="0"/>
    <x v="0"/>
  </r>
  <r>
    <n v="15"/>
    <n v="0"/>
    <n v="3"/>
    <n v="0"/>
    <n v="0"/>
    <n v="0"/>
    <n v="0"/>
    <n v="0"/>
    <n v="0"/>
    <s v="0"/>
    <x v="0"/>
  </r>
  <r>
    <n v="16"/>
    <n v="1"/>
    <n v="3"/>
    <n v="0"/>
    <n v="0"/>
    <n v="0"/>
    <n v="0"/>
    <n v="0"/>
    <n v="0"/>
    <s v="0"/>
    <x v="0"/>
  </r>
  <r>
    <n v="17"/>
    <n v="2"/>
    <n v="3"/>
    <n v="0"/>
    <n v="0"/>
    <n v="0"/>
    <n v="0"/>
    <n v="0"/>
    <n v="0"/>
    <s v="0"/>
    <x v="0"/>
  </r>
  <r>
    <n v="18"/>
    <n v="3"/>
    <n v="3"/>
    <n v="0"/>
    <n v="0"/>
    <n v="0"/>
    <n v="0"/>
    <n v="0"/>
    <n v="0"/>
    <s v="0"/>
    <x v="0"/>
  </r>
  <r>
    <n v="19"/>
    <n v="4"/>
    <n v="3"/>
    <n v="0"/>
    <n v="0"/>
    <n v="0"/>
    <n v="0"/>
    <n v="0"/>
    <n v="0"/>
    <s v="0"/>
    <x v="0"/>
  </r>
  <r>
    <n v="20"/>
    <n v="0"/>
    <n v="4"/>
    <n v="0"/>
    <n v="0"/>
    <n v="0"/>
    <n v="0"/>
    <n v="0"/>
    <n v="0"/>
    <s v="0"/>
    <x v="0"/>
  </r>
  <r>
    <n v="21"/>
    <n v="1"/>
    <n v="4"/>
    <n v="0"/>
    <n v="0"/>
    <n v="0"/>
    <n v="0"/>
    <n v="0"/>
    <n v="0"/>
    <s v="0"/>
    <x v="0"/>
  </r>
  <r>
    <n v="22"/>
    <n v="2"/>
    <n v="4"/>
    <n v="0"/>
    <n v="0"/>
    <n v="0"/>
    <n v="0"/>
    <n v="0"/>
    <n v="0"/>
    <s v="0"/>
    <x v="0"/>
  </r>
  <r>
    <n v="23"/>
    <n v="3"/>
    <n v="4"/>
    <n v="0"/>
    <n v="0"/>
    <n v="0"/>
    <n v="0"/>
    <n v="0"/>
    <n v="0"/>
    <s v="0"/>
    <x v="0"/>
  </r>
  <r>
    <n v="24"/>
    <n v="4"/>
    <n v="4"/>
    <n v="0"/>
    <n v="0"/>
    <n v="0"/>
    <n v="0"/>
    <n v="0"/>
    <n v="0"/>
    <s v="0"/>
    <x v="0"/>
  </r>
  <r>
    <n v="25"/>
    <n v="0"/>
    <n v="0"/>
    <n v="1"/>
    <n v="0"/>
    <s v="0"/>
    <n v="0"/>
    <n v="0"/>
    <n v="0"/>
    <s v="0"/>
    <x v="0"/>
  </r>
  <r>
    <n v="26"/>
    <n v="1"/>
    <n v="0"/>
    <n v="1"/>
    <n v="0"/>
    <s v="7F"/>
    <n v="0"/>
    <n v="127"/>
    <n v="0"/>
    <s v="3F"/>
    <x v="1"/>
  </r>
  <r>
    <n v="27"/>
    <n v="2"/>
    <n v="0"/>
    <n v="1"/>
    <n v="0"/>
    <s v="7f0000"/>
    <n v="0"/>
    <n v="8323072"/>
    <n v="0"/>
    <s v="3F8000"/>
    <x v="2"/>
  </r>
  <r>
    <n v="28"/>
    <n v="3"/>
    <n v="0"/>
    <n v="1"/>
    <n v="0"/>
    <s v="7f007f"/>
    <n v="0"/>
    <n v="8323199"/>
    <n v="0"/>
    <s v="3F803F"/>
    <x v="3"/>
  </r>
  <r>
    <n v="29"/>
    <n v="4"/>
    <n v="0"/>
    <n v="1"/>
    <n v="0"/>
    <s v="007f00"/>
    <n v="0"/>
    <n v="32512"/>
    <n v="0"/>
    <s v="3F80"/>
    <x v="4"/>
  </r>
  <r>
    <n v="30"/>
    <n v="0"/>
    <n v="1"/>
    <n v="1"/>
    <n v="0"/>
    <s v="0"/>
    <n v="0"/>
    <n v="0"/>
    <n v="0"/>
    <s v="0"/>
    <x v="0"/>
  </r>
  <r>
    <n v="31"/>
    <n v="1"/>
    <n v="1"/>
    <n v="1"/>
    <n v="0"/>
    <s v="7F"/>
    <n v="0"/>
    <n v="127"/>
    <n v="0"/>
    <s v="3F"/>
    <x v="1"/>
  </r>
  <r>
    <n v="32"/>
    <n v="2"/>
    <n v="1"/>
    <n v="1"/>
    <n v="0"/>
    <s v="7f0000"/>
    <n v="0"/>
    <n v="8323072"/>
    <n v="0"/>
    <s v="3F8000"/>
    <x v="2"/>
  </r>
  <r>
    <n v="33"/>
    <n v="3"/>
    <n v="1"/>
    <n v="1"/>
    <n v="0"/>
    <s v="7f007f"/>
    <n v="0"/>
    <n v="8323199"/>
    <n v="0"/>
    <s v="3F803F"/>
    <x v="3"/>
  </r>
  <r>
    <n v="34"/>
    <n v="4"/>
    <n v="1"/>
    <n v="1"/>
    <n v="0"/>
    <s v="007f00"/>
    <n v="0"/>
    <n v="32512"/>
    <n v="0"/>
    <s v="3F80"/>
    <x v="4"/>
  </r>
  <r>
    <n v="35"/>
    <n v="0"/>
    <n v="2"/>
    <n v="1"/>
    <n v="0"/>
    <s v="0"/>
    <n v="0"/>
    <n v="0"/>
    <n v="0"/>
    <s v="0"/>
    <x v="0"/>
  </r>
  <r>
    <n v="36"/>
    <n v="1"/>
    <n v="2"/>
    <n v="1"/>
    <n v="0"/>
    <s v="7F"/>
    <n v="0"/>
    <n v="127"/>
    <n v="0"/>
    <s v="3F"/>
    <x v="1"/>
  </r>
  <r>
    <n v="37"/>
    <n v="2"/>
    <n v="2"/>
    <n v="1"/>
    <n v="0"/>
    <s v="7f0000"/>
    <n v="0"/>
    <n v="8323072"/>
    <n v="0"/>
    <s v="3F8000"/>
    <x v="2"/>
  </r>
  <r>
    <n v="38"/>
    <n v="3"/>
    <n v="2"/>
    <n v="1"/>
    <n v="0"/>
    <s v="7f007f"/>
    <n v="0"/>
    <n v="8323199"/>
    <n v="0"/>
    <s v="3F803F"/>
    <x v="3"/>
  </r>
  <r>
    <n v="39"/>
    <n v="4"/>
    <n v="2"/>
    <n v="1"/>
    <n v="0"/>
    <s v="007f00"/>
    <n v="0"/>
    <n v="32512"/>
    <n v="0"/>
    <s v="3F80"/>
    <x v="4"/>
  </r>
  <r>
    <n v="40"/>
    <n v="0"/>
    <n v="3"/>
    <n v="1"/>
    <n v="0"/>
    <s v="0"/>
    <n v="0"/>
    <n v="0"/>
    <n v="0"/>
    <s v="0"/>
    <x v="0"/>
  </r>
  <r>
    <n v="41"/>
    <n v="1"/>
    <n v="3"/>
    <n v="1"/>
    <n v="0"/>
    <s v="7F"/>
    <n v="0"/>
    <n v="127"/>
    <n v="0"/>
    <s v="3F"/>
    <x v="1"/>
  </r>
  <r>
    <n v="42"/>
    <n v="2"/>
    <n v="3"/>
    <n v="1"/>
    <n v="0"/>
    <s v="7f0000"/>
    <n v="0"/>
    <n v="8323072"/>
    <n v="0"/>
    <s v="3F8000"/>
    <x v="2"/>
  </r>
  <r>
    <n v="43"/>
    <n v="3"/>
    <n v="3"/>
    <n v="1"/>
    <n v="0"/>
    <s v="7f007f"/>
    <n v="0"/>
    <n v="8323199"/>
    <n v="0"/>
    <s v="3F803F"/>
    <x v="3"/>
  </r>
  <r>
    <n v="44"/>
    <n v="4"/>
    <n v="3"/>
    <n v="1"/>
    <n v="0"/>
    <s v="007f00"/>
    <n v="0"/>
    <n v="32512"/>
    <n v="0"/>
    <s v="3F80"/>
    <x v="4"/>
  </r>
  <r>
    <n v="45"/>
    <n v="0"/>
    <n v="4"/>
    <n v="1"/>
    <n v="0"/>
    <s v="0"/>
    <n v="0"/>
    <n v="0"/>
    <n v="0"/>
    <s v="0"/>
    <x v="0"/>
  </r>
  <r>
    <n v="46"/>
    <n v="1"/>
    <n v="4"/>
    <n v="1"/>
    <n v="0"/>
    <s v="7F"/>
    <n v="0"/>
    <n v="127"/>
    <n v="0"/>
    <s v="3F"/>
    <x v="1"/>
  </r>
  <r>
    <n v="47"/>
    <n v="2"/>
    <n v="4"/>
    <n v="1"/>
    <n v="0"/>
    <s v="7f0000"/>
    <n v="0"/>
    <n v="8323072"/>
    <n v="0"/>
    <s v="3F8000"/>
    <x v="2"/>
  </r>
  <r>
    <n v="48"/>
    <n v="3"/>
    <n v="4"/>
    <n v="1"/>
    <n v="0"/>
    <s v="7f007f"/>
    <n v="0"/>
    <n v="8323199"/>
    <n v="0"/>
    <s v="3F803F"/>
    <x v="3"/>
  </r>
  <r>
    <n v="49"/>
    <n v="4"/>
    <n v="4"/>
    <n v="1"/>
    <n v="0"/>
    <s v="007f00"/>
    <n v="0"/>
    <n v="32512"/>
    <n v="0"/>
    <s v="3F80"/>
    <x v="4"/>
  </r>
  <r>
    <n v="50"/>
    <n v="0"/>
    <n v="0"/>
    <n v="2"/>
    <n v="0"/>
    <s v="0"/>
    <n v="0"/>
    <n v="0"/>
    <n v="0"/>
    <s v="0"/>
    <x v="0"/>
  </r>
  <r>
    <n v="51"/>
    <n v="1"/>
    <n v="0"/>
    <n v="2"/>
    <n v="0"/>
    <s v="FF"/>
    <n v="0"/>
    <n v="255"/>
    <n v="0"/>
    <s v="7F"/>
    <x v="5"/>
  </r>
  <r>
    <n v="52"/>
    <n v="2"/>
    <n v="0"/>
    <n v="2"/>
    <n v="0"/>
    <s v="FF0000"/>
    <n v="0"/>
    <n v="16711680"/>
    <n v="0"/>
    <s v="7F8000"/>
    <x v="6"/>
  </r>
  <r>
    <n v="53"/>
    <n v="3"/>
    <n v="0"/>
    <n v="2"/>
    <n v="0"/>
    <s v="FF00FF"/>
    <n v="0"/>
    <n v="16711935"/>
    <n v="0"/>
    <s v="7F807F"/>
    <x v="7"/>
  </r>
  <r>
    <n v="54"/>
    <n v="4"/>
    <n v="0"/>
    <n v="2"/>
    <n v="0"/>
    <s v="FF00"/>
    <n v="0"/>
    <n v="65280"/>
    <n v="0"/>
    <s v="7F80"/>
    <x v="8"/>
  </r>
  <r>
    <n v="55"/>
    <n v="0"/>
    <n v="1"/>
    <n v="2"/>
    <n v="0"/>
    <s v="0"/>
    <n v="0"/>
    <n v="0"/>
    <n v="0"/>
    <s v="0"/>
    <x v="0"/>
  </r>
  <r>
    <n v="56"/>
    <n v="1"/>
    <n v="1"/>
    <n v="2"/>
    <n v="0"/>
    <s v="FF"/>
    <n v="0"/>
    <n v="255"/>
    <n v="0"/>
    <s v="7F"/>
    <x v="5"/>
  </r>
  <r>
    <n v="57"/>
    <n v="2"/>
    <n v="1"/>
    <n v="2"/>
    <n v="0"/>
    <s v="FF0000"/>
    <n v="0"/>
    <n v="16711680"/>
    <n v="0"/>
    <s v="7F8000"/>
    <x v="6"/>
  </r>
  <r>
    <n v="58"/>
    <n v="3"/>
    <n v="1"/>
    <n v="2"/>
    <n v="0"/>
    <s v="FF00FF"/>
    <n v="0"/>
    <n v="16711935"/>
    <n v="0"/>
    <s v="7F807F"/>
    <x v="7"/>
  </r>
  <r>
    <n v="59"/>
    <n v="4"/>
    <n v="1"/>
    <n v="2"/>
    <n v="0"/>
    <s v="FF00"/>
    <n v="0"/>
    <n v="65280"/>
    <n v="0"/>
    <s v="7F80"/>
    <x v="8"/>
  </r>
  <r>
    <n v="60"/>
    <n v="0"/>
    <n v="2"/>
    <n v="2"/>
    <n v="0"/>
    <s v="0"/>
    <n v="0"/>
    <n v="0"/>
    <n v="0"/>
    <s v="0"/>
    <x v="0"/>
  </r>
  <r>
    <n v="61"/>
    <n v="1"/>
    <n v="2"/>
    <n v="2"/>
    <n v="0"/>
    <s v="FF"/>
    <n v="0"/>
    <n v="255"/>
    <n v="0"/>
    <s v="7F"/>
    <x v="5"/>
  </r>
  <r>
    <n v="62"/>
    <n v="2"/>
    <n v="2"/>
    <n v="2"/>
    <n v="0"/>
    <s v="FF0000"/>
    <n v="0"/>
    <n v="16711680"/>
    <n v="0"/>
    <s v="7F8000"/>
    <x v="6"/>
  </r>
  <r>
    <n v="63"/>
    <n v="3"/>
    <n v="2"/>
    <n v="2"/>
    <n v="0"/>
    <s v="FF00FF"/>
    <n v="0"/>
    <n v="16711935"/>
    <n v="0"/>
    <s v="7F807F"/>
    <x v="7"/>
  </r>
  <r>
    <n v="64"/>
    <n v="4"/>
    <n v="2"/>
    <n v="2"/>
    <n v="0"/>
    <s v="FF00"/>
    <n v="0"/>
    <n v="65280"/>
    <n v="0"/>
    <s v="7F80"/>
    <x v="8"/>
  </r>
  <r>
    <n v="65"/>
    <n v="0"/>
    <n v="3"/>
    <n v="2"/>
    <n v="0"/>
    <s v="0"/>
    <n v="0"/>
    <n v="0"/>
    <n v="0"/>
    <s v="0"/>
    <x v="0"/>
  </r>
  <r>
    <n v="66"/>
    <n v="1"/>
    <n v="3"/>
    <n v="2"/>
    <n v="0"/>
    <s v="FF"/>
    <n v="0"/>
    <n v="255"/>
    <n v="0"/>
    <s v="7F"/>
    <x v="5"/>
  </r>
  <r>
    <n v="67"/>
    <n v="2"/>
    <n v="3"/>
    <n v="2"/>
    <n v="0"/>
    <s v="FF0000"/>
    <n v="0"/>
    <n v="16711680"/>
    <n v="0"/>
    <s v="7F8000"/>
    <x v="6"/>
  </r>
  <r>
    <n v="68"/>
    <n v="3"/>
    <n v="3"/>
    <n v="2"/>
    <n v="0"/>
    <s v="FF00FF"/>
    <n v="0"/>
    <n v="16711935"/>
    <n v="0"/>
    <s v="7F807F"/>
    <x v="7"/>
  </r>
  <r>
    <n v="69"/>
    <n v="4"/>
    <n v="3"/>
    <n v="2"/>
    <n v="0"/>
    <s v="FF00"/>
    <n v="0"/>
    <n v="65280"/>
    <n v="0"/>
    <s v="7F80"/>
    <x v="8"/>
  </r>
  <r>
    <n v="70"/>
    <n v="0"/>
    <n v="4"/>
    <n v="2"/>
    <n v="0"/>
    <s v="0"/>
    <n v="0"/>
    <n v="0"/>
    <n v="0"/>
    <s v="0"/>
    <x v="0"/>
  </r>
  <r>
    <n v="71"/>
    <n v="1"/>
    <n v="4"/>
    <n v="2"/>
    <n v="0"/>
    <s v="FF"/>
    <n v="0"/>
    <n v="255"/>
    <n v="0"/>
    <s v="7F"/>
    <x v="5"/>
  </r>
  <r>
    <n v="72"/>
    <n v="2"/>
    <n v="4"/>
    <n v="2"/>
    <n v="0"/>
    <s v="FF0000"/>
    <n v="0"/>
    <n v="16711680"/>
    <n v="0"/>
    <s v="7F8000"/>
    <x v="6"/>
  </r>
  <r>
    <n v="73"/>
    <n v="3"/>
    <n v="4"/>
    <n v="2"/>
    <n v="0"/>
    <s v="FF00FF"/>
    <n v="0"/>
    <n v="16711935"/>
    <n v="0"/>
    <s v="7F807F"/>
    <x v="7"/>
  </r>
  <r>
    <n v="74"/>
    <n v="4"/>
    <n v="4"/>
    <n v="2"/>
    <n v="0"/>
    <s v="FF00"/>
    <n v="0"/>
    <n v="65280"/>
    <n v="0"/>
    <s v="7F80"/>
    <x v="8"/>
  </r>
  <r>
    <n v="75"/>
    <n v="0"/>
    <n v="0"/>
    <n v="0"/>
    <n v="1"/>
    <n v="0"/>
    <s v="0"/>
    <n v="0"/>
    <n v="0"/>
    <s v="0"/>
    <x v="0"/>
  </r>
  <r>
    <n v="76"/>
    <n v="1"/>
    <n v="0"/>
    <n v="0"/>
    <n v="1"/>
    <n v="0"/>
    <s v="0"/>
    <n v="0"/>
    <n v="0"/>
    <s v="0"/>
    <x v="0"/>
  </r>
  <r>
    <n v="77"/>
    <n v="2"/>
    <n v="0"/>
    <n v="0"/>
    <n v="1"/>
    <n v="0"/>
    <s v="0"/>
    <n v="0"/>
    <n v="0"/>
    <s v="0"/>
    <x v="0"/>
  </r>
  <r>
    <n v="78"/>
    <n v="3"/>
    <n v="0"/>
    <n v="0"/>
    <n v="1"/>
    <n v="0"/>
    <s v="0"/>
    <n v="0"/>
    <n v="0"/>
    <s v="0"/>
    <x v="0"/>
  </r>
  <r>
    <n v="79"/>
    <n v="4"/>
    <n v="0"/>
    <n v="0"/>
    <n v="1"/>
    <n v="0"/>
    <s v="0"/>
    <n v="0"/>
    <n v="0"/>
    <s v="0"/>
    <x v="0"/>
  </r>
  <r>
    <n v="80"/>
    <n v="0"/>
    <n v="1"/>
    <n v="0"/>
    <n v="1"/>
    <n v="0"/>
    <s v="7F"/>
    <n v="0"/>
    <n v="127"/>
    <s v="3F"/>
    <x v="1"/>
  </r>
  <r>
    <n v="81"/>
    <n v="1"/>
    <n v="1"/>
    <n v="0"/>
    <n v="1"/>
    <n v="0"/>
    <s v="7F"/>
    <n v="0"/>
    <n v="127"/>
    <s v="3F"/>
    <x v="1"/>
  </r>
  <r>
    <n v="82"/>
    <n v="2"/>
    <n v="1"/>
    <n v="0"/>
    <n v="1"/>
    <n v="0"/>
    <s v="7F"/>
    <n v="0"/>
    <n v="127"/>
    <s v="3F"/>
    <x v="1"/>
  </r>
  <r>
    <n v="83"/>
    <n v="3"/>
    <n v="1"/>
    <n v="0"/>
    <n v="1"/>
    <n v="0"/>
    <s v="7F"/>
    <n v="0"/>
    <n v="127"/>
    <s v="3F"/>
    <x v="1"/>
  </r>
  <r>
    <n v="84"/>
    <n v="4"/>
    <n v="1"/>
    <n v="0"/>
    <n v="1"/>
    <n v="0"/>
    <s v="7F"/>
    <n v="0"/>
    <n v="127"/>
    <s v="3F"/>
    <x v="1"/>
  </r>
  <r>
    <n v="85"/>
    <n v="0"/>
    <n v="2"/>
    <n v="0"/>
    <n v="1"/>
    <n v="0"/>
    <s v="7f0000"/>
    <n v="0"/>
    <n v="8323072"/>
    <s v="3F8000"/>
    <x v="2"/>
  </r>
  <r>
    <n v="86"/>
    <n v="1"/>
    <n v="2"/>
    <n v="0"/>
    <n v="1"/>
    <n v="0"/>
    <s v="7f0000"/>
    <n v="0"/>
    <n v="8323072"/>
    <s v="3F8000"/>
    <x v="2"/>
  </r>
  <r>
    <n v="87"/>
    <n v="2"/>
    <n v="2"/>
    <n v="0"/>
    <n v="1"/>
    <n v="0"/>
    <s v="7f0000"/>
    <n v="0"/>
    <n v="8323072"/>
    <s v="3F8000"/>
    <x v="2"/>
  </r>
  <r>
    <n v="88"/>
    <n v="3"/>
    <n v="2"/>
    <n v="0"/>
    <n v="1"/>
    <n v="0"/>
    <s v="7f0000"/>
    <n v="0"/>
    <n v="8323072"/>
    <s v="3F8000"/>
    <x v="2"/>
  </r>
  <r>
    <n v="89"/>
    <n v="4"/>
    <n v="2"/>
    <n v="0"/>
    <n v="1"/>
    <n v="0"/>
    <s v="7f0000"/>
    <n v="0"/>
    <n v="8323072"/>
    <s v="3F8000"/>
    <x v="2"/>
  </r>
  <r>
    <n v="90"/>
    <n v="0"/>
    <n v="3"/>
    <n v="0"/>
    <n v="1"/>
    <n v="0"/>
    <s v="7f007f"/>
    <n v="0"/>
    <n v="8323199"/>
    <s v="3F803F"/>
    <x v="3"/>
  </r>
  <r>
    <n v="91"/>
    <n v="1"/>
    <n v="3"/>
    <n v="0"/>
    <n v="1"/>
    <n v="0"/>
    <s v="7f007f"/>
    <n v="0"/>
    <n v="8323199"/>
    <s v="3F803F"/>
    <x v="3"/>
  </r>
  <r>
    <n v="92"/>
    <n v="2"/>
    <n v="3"/>
    <n v="0"/>
    <n v="1"/>
    <n v="0"/>
    <s v="7f007f"/>
    <n v="0"/>
    <n v="8323199"/>
    <s v="3F803F"/>
    <x v="3"/>
  </r>
  <r>
    <n v="93"/>
    <n v="3"/>
    <n v="3"/>
    <n v="0"/>
    <n v="1"/>
    <n v="0"/>
    <s v="7f007f"/>
    <n v="0"/>
    <n v="8323199"/>
    <s v="3F803F"/>
    <x v="3"/>
  </r>
  <r>
    <n v="94"/>
    <n v="4"/>
    <n v="3"/>
    <n v="0"/>
    <n v="1"/>
    <n v="0"/>
    <s v="7f007f"/>
    <n v="0"/>
    <n v="8323199"/>
    <s v="3F803F"/>
    <x v="3"/>
  </r>
  <r>
    <n v="95"/>
    <n v="0"/>
    <n v="4"/>
    <n v="0"/>
    <n v="1"/>
    <n v="0"/>
    <s v="007f00"/>
    <n v="0"/>
    <n v="32512"/>
    <s v="3F80"/>
    <x v="4"/>
  </r>
  <r>
    <n v="96"/>
    <n v="1"/>
    <n v="4"/>
    <n v="0"/>
    <n v="1"/>
    <n v="0"/>
    <s v="007f00"/>
    <n v="0"/>
    <n v="32512"/>
    <s v="3F80"/>
    <x v="4"/>
  </r>
  <r>
    <n v="97"/>
    <n v="2"/>
    <n v="4"/>
    <n v="0"/>
    <n v="1"/>
    <n v="0"/>
    <s v="007f00"/>
    <n v="0"/>
    <n v="32512"/>
    <s v="3F80"/>
    <x v="4"/>
  </r>
  <r>
    <n v="98"/>
    <n v="3"/>
    <n v="4"/>
    <n v="0"/>
    <n v="1"/>
    <n v="0"/>
    <s v="007f00"/>
    <n v="0"/>
    <n v="32512"/>
    <s v="3F80"/>
    <x v="4"/>
  </r>
  <r>
    <n v="99"/>
    <n v="4"/>
    <n v="4"/>
    <n v="0"/>
    <n v="1"/>
    <n v="0"/>
    <s v="007f00"/>
    <n v="0"/>
    <n v="32512"/>
    <s v="3F80"/>
    <x v="4"/>
  </r>
  <r>
    <n v="100"/>
    <n v="0"/>
    <n v="0"/>
    <n v="1"/>
    <n v="1"/>
    <s v="0"/>
    <s v="0"/>
    <n v="0"/>
    <n v="0"/>
    <s v="0"/>
    <x v="0"/>
  </r>
  <r>
    <n v="101"/>
    <n v="1"/>
    <n v="0"/>
    <n v="1"/>
    <n v="1"/>
    <s v="7F"/>
    <s v="0"/>
    <n v="127"/>
    <n v="0"/>
    <s v="3F"/>
    <x v="1"/>
  </r>
  <r>
    <n v="102"/>
    <n v="2"/>
    <n v="0"/>
    <n v="1"/>
    <n v="1"/>
    <s v="7f0000"/>
    <s v="0"/>
    <n v="8323072"/>
    <n v="0"/>
    <s v="3F8000"/>
    <x v="2"/>
  </r>
  <r>
    <n v="103"/>
    <n v="3"/>
    <n v="0"/>
    <n v="1"/>
    <n v="1"/>
    <s v="7f007f"/>
    <s v="0"/>
    <n v="8323199"/>
    <n v="0"/>
    <s v="3F803F"/>
    <x v="3"/>
  </r>
  <r>
    <n v="104"/>
    <n v="4"/>
    <n v="0"/>
    <n v="1"/>
    <n v="1"/>
    <s v="007f00"/>
    <s v="0"/>
    <n v="32512"/>
    <n v="0"/>
    <s v="3F80"/>
    <x v="4"/>
  </r>
  <r>
    <n v="105"/>
    <n v="0"/>
    <n v="1"/>
    <n v="1"/>
    <n v="1"/>
    <s v="0"/>
    <s v="7F"/>
    <n v="0"/>
    <n v="127"/>
    <s v="3F"/>
    <x v="1"/>
  </r>
  <r>
    <n v="106"/>
    <n v="1"/>
    <n v="1"/>
    <n v="1"/>
    <n v="1"/>
    <s v="7F"/>
    <s v="7F"/>
    <n v="127"/>
    <n v="127"/>
    <s v="7F"/>
    <x v="5"/>
  </r>
  <r>
    <n v="107"/>
    <n v="2"/>
    <n v="1"/>
    <n v="1"/>
    <n v="1"/>
    <s v="7f0000"/>
    <s v="7F"/>
    <n v="8323072"/>
    <n v="127"/>
    <s v="3F803F"/>
    <x v="3"/>
  </r>
  <r>
    <n v="108"/>
    <n v="3"/>
    <n v="1"/>
    <n v="1"/>
    <n v="1"/>
    <s v="7f007f"/>
    <s v="7F"/>
    <n v="8323199"/>
    <n v="127"/>
    <s v="3F807F"/>
    <x v="9"/>
  </r>
  <r>
    <n v="109"/>
    <n v="4"/>
    <n v="1"/>
    <n v="1"/>
    <n v="1"/>
    <s v="007f00"/>
    <s v="7F"/>
    <n v="32512"/>
    <n v="127"/>
    <s v="3FBF"/>
    <x v="10"/>
  </r>
  <r>
    <n v="110"/>
    <n v="0"/>
    <n v="2"/>
    <n v="1"/>
    <n v="1"/>
    <s v="0"/>
    <s v="7f0000"/>
    <n v="0"/>
    <n v="8323072"/>
    <s v="3F8000"/>
    <x v="2"/>
  </r>
  <r>
    <n v="111"/>
    <n v="1"/>
    <n v="2"/>
    <n v="1"/>
    <n v="1"/>
    <s v="7F"/>
    <s v="7f0000"/>
    <n v="127"/>
    <n v="8323072"/>
    <s v="3F803F"/>
    <x v="3"/>
  </r>
  <r>
    <n v="112"/>
    <n v="2"/>
    <n v="2"/>
    <n v="1"/>
    <n v="1"/>
    <s v="7f0000"/>
    <s v="7f0000"/>
    <n v="8323072"/>
    <n v="8323072"/>
    <s v="7F0000"/>
    <x v="11"/>
  </r>
  <r>
    <n v="113"/>
    <n v="3"/>
    <n v="2"/>
    <n v="1"/>
    <n v="1"/>
    <s v="7f007f"/>
    <s v="7f0000"/>
    <n v="8323199"/>
    <n v="8323072"/>
    <s v="7F003F"/>
    <x v="12"/>
  </r>
  <r>
    <n v="114"/>
    <n v="4"/>
    <n v="2"/>
    <n v="1"/>
    <n v="1"/>
    <s v="007f00"/>
    <s v="7f0000"/>
    <n v="32512"/>
    <n v="8323072"/>
    <s v="3FBF80"/>
    <x v="13"/>
  </r>
  <r>
    <n v="115"/>
    <n v="0"/>
    <n v="3"/>
    <n v="1"/>
    <n v="1"/>
    <s v="0"/>
    <s v="7f007f"/>
    <n v="0"/>
    <n v="8323199"/>
    <s v="3F803F"/>
    <x v="3"/>
  </r>
  <r>
    <n v="116"/>
    <n v="1"/>
    <n v="3"/>
    <n v="1"/>
    <n v="1"/>
    <s v="7F"/>
    <s v="7f007f"/>
    <n v="127"/>
    <n v="8323199"/>
    <s v="3F807F"/>
    <x v="9"/>
  </r>
  <r>
    <n v="117"/>
    <n v="2"/>
    <n v="3"/>
    <n v="1"/>
    <n v="1"/>
    <s v="7f0000"/>
    <s v="7f007f"/>
    <n v="8323072"/>
    <n v="8323199"/>
    <s v="7F003F"/>
    <x v="12"/>
  </r>
  <r>
    <n v="118"/>
    <n v="3"/>
    <n v="3"/>
    <n v="1"/>
    <n v="1"/>
    <s v="7f007f"/>
    <s v="7f007f"/>
    <n v="8323199"/>
    <n v="8323199"/>
    <s v="7F007F"/>
    <x v="14"/>
  </r>
  <r>
    <n v="119"/>
    <n v="4"/>
    <n v="3"/>
    <n v="1"/>
    <n v="1"/>
    <s v="007f00"/>
    <s v="7f007f"/>
    <n v="32512"/>
    <n v="8323199"/>
    <s v="3FBFBF"/>
    <x v="15"/>
  </r>
  <r>
    <n v="120"/>
    <n v="0"/>
    <n v="4"/>
    <n v="1"/>
    <n v="1"/>
    <s v="0"/>
    <s v="007f00"/>
    <n v="0"/>
    <n v="32512"/>
    <s v="3F80"/>
    <x v="4"/>
  </r>
  <r>
    <n v="121"/>
    <n v="1"/>
    <n v="4"/>
    <n v="1"/>
    <n v="1"/>
    <s v="7F"/>
    <s v="007f00"/>
    <n v="127"/>
    <n v="32512"/>
    <s v="3FBF"/>
    <x v="10"/>
  </r>
  <r>
    <n v="122"/>
    <n v="2"/>
    <n v="4"/>
    <n v="1"/>
    <n v="1"/>
    <s v="7f0000"/>
    <s v="007f00"/>
    <n v="8323072"/>
    <n v="32512"/>
    <s v="3FBF80"/>
    <x v="13"/>
  </r>
  <r>
    <n v="123"/>
    <n v="3"/>
    <n v="4"/>
    <n v="1"/>
    <n v="1"/>
    <s v="7f007f"/>
    <s v="007f00"/>
    <n v="8323199"/>
    <n v="32512"/>
    <s v="3FBFBF"/>
    <x v="15"/>
  </r>
  <r>
    <n v="124"/>
    <n v="4"/>
    <n v="4"/>
    <n v="1"/>
    <n v="1"/>
    <s v="007f00"/>
    <s v="007f00"/>
    <n v="32512"/>
    <n v="32512"/>
    <s v="7F00"/>
    <x v="16"/>
  </r>
  <r>
    <n v="125"/>
    <n v="0"/>
    <n v="0"/>
    <n v="2"/>
    <n v="1"/>
    <s v="0"/>
    <s v="0"/>
    <n v="0"/>
    <n v="0"/>
    <s v="0"/>
    <x v="0"/>
  </r>
  <r>
    <n v="126"/>
    <n v="1"/>
    <n v="0"/>
    <n v="2"/>
    <n v="1"/>
    <s v="FF"/>
    <s v="0"/>
    <n v="255"/>
    <n v="0"/>
    <s v="7F"/>
    <x v="5"/>
  </r>
  <r>
    <n v="127"/>
    <n v="2"/>
    <n v="0"/>
    <n v="2"/>
    <n v="1"/>
    <s v="FF0000"/>
    <s v="0"/>
    <n v="16711680"/>
    <n v="0"/>
    <s v="7F8000"/>
    <x v="6"/>
  </r>
  <r>
    <n v="128"/>
    <n v="3"/>
    <n v="0"/>
    <n v="2"/>
    <n v="1"/>
    <s v="FF00FF"/>
    <s v="0"/>
    <n v="16711935"/>
    <n v="0"/>
    <s v="7F807F"/>
    <x v="7"/>
  </r>
  <r>
    <n v="129"/>
    <n v="4"/>
    <n v="0"/>
    <n v="2"/>
    <n v="1"/>
    <s v="FF00"/>
    <s v="0"/>
    <n v="65280"/>
    <n v="0"/>
    <s v="7F80"/>
    <x v="8"/>
  </r>
  <r>
    <n v="130"/>
    <n v="0"/>
    <n v="1"/>
    <n v="2"/>
    <n v="1"/>
    <s v="0"/>
    <s v="7F"/>
    <n v="0"/>
    <n v="127"/>
    <s v="3F"/>
    <x v="1"/>
  </r>
  <r>
    <n v="131"/>
    <n v="1"/>
    <n v="1"/>
    <n v="2"/>
    <n v="1"/>
    <s v="FF"/>
    <s v="7F"/>
    <n v="255"/>
    <n v="127"/>
    <s v="BF"/>
    <x v="17"/>
  </r>
  <r>
    <n v="132"/>
    <n v="2"/>
    <n v="1"/>
    <n v="2"/>
    <n v="1"/>
    <s v="FF0000"/>
    <s v="7F"/>
    <n v="16711680"/>
    <n v="127"/>
    <s v="7F803F"/>
    <x v="18"/>
  </r>
  <r>
    <n v="133"/>
    <n v="3"/>
    <n v="1"/>
    <n v="2"/>
    <n v="1"/>
    <s v="FF00FF"/>
    <s v="7F"/>
    <n v="16711935"/>
    <n v="127"/>
    <s v="7F80BF"/>
    <x v="19"/>
  </r>
  <r>
    <n v="134"/>
    <n v="4"/>
    <n v="1"/>
    <n v="2"/>
    <n v="1"/>
    <s v="FF00"/>
    <s v="7F"/>
    <n v="65280"/>
    <n v="127"/>
    <s v="7FBF"/>
    <x v="20"/>
  </r>
  <r>
    <n v="135"/>
    <n v="0"/>
    <n v="2"/>
    <n v="2"/>
    <n v="1"/>
    <s v="0"/>
    <s v="7f0000"/>
    <n v="0"/>
    <n v="8323072"/>
    <s v="3F8000"/>
    <x v="2"/>
  </r>
  <r>
    <n v="136"/>
    <n v="1"/>
    <n v="2"/>
    <n v="2"/>
    <n v="1"/>
    <s v="FF"/>
    <s v="7f0000"/>
    <n v="255"/>
    <n v="8323072"/>
    <s v="3F807F"/>
    <x v="9"/>
  </r>
  <r>
    <n v="137"/>
    <n v="2"/>
    <n v="2"/>
    <n v="2"/>
    <n v="1"/>
    <s v="FF0000"/>
    <s v="7f0000"/>
    <n v="16711680"/>
    <n v="8323072"/>
    <s v="BF0000"/>
    <x v="21"/>
  </r>
  <r>
    <n v="138"/>
    <n v="3"/>
    <n v="2"/>
    <n v="2"/>
    <n v="1"/>
    <s v="FF00FF"/>
    <s v="7f0000"/>
    <n v="16711935"/>
    <n v="8323072"/>
    <s v="BF007F"/>
    <x v="22"/>
  </r>
  <r>
    <n v="139"/>
    <n v="4"/>
    <n v="2"/>
    <n v="2"/>
    <n v="1"/>
    <s v="FF00"/>
    <s v="7f0000"/>
    <n v="65280"/>
    <n v="8323072"/>
    <s v="3FFF80"/>
    <x v="23"/>
  </r>
  <r>
    <n v="140"/>
    <n v="0"/>
    <n v="3"/>
    <n v="2"/>
    <n v="1"/>
    <s v="0"/>
    <s v="7f007f"/>
    <n v="0"/>
    <n v="8323199"/>
    <s v="3F803F"/>
    <x v="3"/>
  </r>
  <r>
    <n v="141"/>
    <n v="1"/>
    <n v="3"/>
    <n v="2"/>
    <n v="1"/>
    <s v="FF"/>
    <s v="7f007f"/>
    <n v="255"/>
    <n v="8323199"/>
    <s v="3F80BF"/>
    <x v="24"/>
  </r>
  <r>
    <n v="142"/>
    <n v="2"/>
    <n v="3"/>
    <n v="2"/>
    <n v="1"/>
    <s v="FF0000"/>
    <s v="7f007f"/>
    <n v="16711680"/>
    <n v="8323199"/>
    <s v="BF003F"/>
    <x v="25"/>
  </r>
  <r>
    <n v="143"/>
    <n v="3"/>
    <n v="3"/>
    <n v="2"/>
    <n v="1"/>
    <s v="FF00FF"/>
    <s v="7f007f"/>
    <n v="16711935"/>
    <n v="8323199"/>
    <s v="BF00BF"/>
    <x v="26"/>
  </r>
  <r>
    <n v="144"/>
    <n v="4"/>
    <n v="3"/>
    <n v="2"/>
    <n v="1"/>
    <s v="FF00"/>
    <s v="7f007f"/>
    <n v="65280"/>
    <n v="8323199"/>
    <s v="3FFFBF"/>
    <x v="27"/>
  </r>
  <r>
    <n v="145"/>
    <n v="0"/>
    <n v="4"/>
    <n v="2"/>
    <n v="1"/>
    <s v="0"/>
    <s v="007f00"/>
    <n v="0"/>
    <n v="32512"/>
    <s v="3F80"/>
    <x v="4"/>
  </r>
  <r>
    <n v="146"/>
    <n v="1"/>
    <n v="4"/>
    <n v="2"/>
    <n v="1"/>
    <s v="FF"/>
    <s v="007f00"/>
    <n v="255"/>
    <n v="32512"/>
    <s v="3FFF"/>
    <x v="28"/>
  </r>
  <r>
    <n v="147"/>
    <n v="2"/>
    <n v="4"/>
    <n v="2"/>
    <n v="1"/>
    <s v="FF0000"/>
    <s v="007f00"/>
    <n v="16711680"/>
    <n v="32512"/>
    <s v="7FBF80"/>
    <x v="29"/>
  </r>
  <r>
    <n v="148"/>
    <n v="3"/>
    <n v="4"/>
    <n v="2"/>
    <n v="1"/>
    <s v="FF00FF"/>
    <s v="007f00"/>
    <n v="16711935"/>
    <n v="32512"/>
    <s v="7FBFFF"/>
    <x v="30"/>
  </r>
  <r>
    <n v="149"/>
    <n v="4"/>
    <n v="4"/>
    <n v="2"/>
    <n v="1"/>
    <s v="FF00"/>
    <s v="007f00"/>
    <n v="65280"/>
    <n v="32512"/>
    <s v="BF00"/>
    <x v="31"/>
  </r>
  <r>
    <n v="150"/>
    <n v="0"/>
    <n v="0"/>
    <n v="0"/>
    <n v="2"/>
    <n v="0"/>
    <s v="0"/>
    <n v="0"/>
    <n v="0"/>
    <s v="0"/>
    <x v="0"/>
  </r>
  <r>
    <n v="151"/>
    <n v="1"/>
    <n v="0"/>
    <n v="0"/>
    <n v="2"/>
    <n v="0"/>
    <s v="0"/>
    <n v="0"/>
    <n v="0"/>
    <s v="0"/>
    <x v="0"/>
  </r>
  <r>
    <n v="152"/>
    <n v="2"/>
    <n v="0"/>
    <n v="0"/>
    <n v="2"/>
    <n v="0"/>
    <s v="0"/>
    <n v="0"/>
    <n v="0"/>
    <s v="0"/>
    <x v="0"/>
  </r>
  <r>
    <n v="153"/>
    <n v="3"/>
    <n v="0"/>
    <n v="0"/>
    <n v="2"/>
    <n v="0"/>
    <s v="0"/>
    <n v="0"/>
    <n v="0"/>
    <s v="0"/>
    <x v="0"/>
  </r>
  <r>
    <n v="154"/>
    <n v="4"/>
    <n v="0"/>
    <n v="0"/>
    <n v="2"/>
    <n v="0"/>
    <s v="0"/>
    <n v="0"/>
    <n v="0"/>
    <s v="0"/>
    <x v="0"/>
  </r>
  <r>
    <n v="155"/>
    <n v="0"/>
    <n v="1"/>
    <n v="0"/>
    <n v="2"/>
    <n v="0"/>
    <s v="FF"/>
    <n v="0"/>
    <n v="255"/>
    <s v="7F"/>
    <x v="5"/>
  </r>
  <r>
    <n v="156"/>
    <n v="1"/>
    <n v="1"/>
    <n v="0"/>
    <n v="2"/>
    <n v="0"/>
    <s v="FF"/>
    <n v="0"/>
    <n v="255"/>
    <s v="7F"/>
    <x v="5"/>
  </r>
  <r>
    <n v="157"/>
    <n v="2"/>
    <n v="1"/>
    <n v="0"/>
    <n v="2"/>
    <n v="0"/>
    <s v="FF"/>
    <n v="0"/>
    <n v="255"/>
    <s v="7F"/>
    <x v="5"/>
  </r>
  <r>
    <n v="158"/>
    <n v="3"/>
    <n v="1"/>
    <n v="0"/>
    <n v="2"/>
    <n v="0"/>
    <s v="FF"/>
    <n v="0"/>
    <n v="255"/>
    <s v="7F"/>
    <x v="5"/>
  </r>
  <r>
    <n v="159"/>
    <n v="4"/>
    <n v="1"/>
    <n v="0"/>
    <n v="2"/>
    <n v="0"/>
    <s v="FF"/>
    <n v="0"/>
    <n v="255"/>
    <s v="7F"/>
    <x v="5"/>
  </r>
  <r>
    <n v="160"/>
    <n v="0"/>
    <n v="2"/>
    <n v="0"/>
    <n v="2"/>
    <n v="0"/>
    <s v="FF0000"/>
    <n v="0"/>
    <n v="16711680"/>
    <s v="7F8000"/>
    <x v="6"/>
  </r>
  <r>
    <n v="161"/>
    <n v="1"/>
    <n v="2"/>
    <n v="0"/>
    <n v="2"/>
    <n v="0"/>
    <s v="FF0000"/>
    <n v="0"/>
    <n v="16711680"/>
    <s v="7F8000"/>
    <x v="6"/>
  </r>
  <r>
    <n v="162"/>
    <n v="2"/>
    <n v="2"/>
    <n v="0"/>
    <n v="2"/>
    <n v="0"/>
    <s v="FF0000"/>
    <n v="0"/>
    <n v="16711680"/>
    <s v="7F8000"/>
    <x v="6"/>
  </r>
  <r>
    <n v="163"/>
    <n v="3"/>
    <n v="2"/>
    <n v="0"/>
    <n v="2"/>
    <n v="0"/>
    <s v="FF0000"/>
    <n v="0"/>
    <n v="16711680"/>
    <s v="7F8000"/>
    <x v="6"/>
  </r>
  <r>
    <n v="164"/>
    <n v="4"/>
    <n v="2"/>
    <n v="0"/>
    <n v="2"/>
    <n v="0"/>
    <s v="FF0000"/>
    <n v="0"/>
    <n v="16711680"/>
    <s v="7F8000"/>
    <x v="6"/>
  </r>
  <r>
    <n v="165"/>
    <n v="0"/>
    <n v="3"/>
    <n v="0"/>
    <n v="2"/>
    <n v="0"/>
    <s v="FF00FF"/>
    <n v="0"/>
    <n v="16711935"/>
    <s v="7F807F"/>
    <x v="7"/>
  </r>
  <r>
    <n v="166"/>
    <n v="1"/>
    <n v="3"/>
    <n v="0"/>
    <n v="2"/>
    <n v="0"/>
    <s v="FF00FF"/>
    <n v="0"/>
    <n v="16711935"/>
    <s v="7F807F"/>
    <x v="7"/>
  </r>
  <r>
    <n v="167"/>
    <n v="2"/>
    <n v="3"/>
    <n v="0"/>
    <n v="2"/>
    <n v="0"/>
    <s v="FF00FF"/>
    <n v="0"/>
    <n v="16711935"/>
    <s v="7F807F"/>
    <x v="7"/>
  </r>
  <r>
    <n v="168"/>
    <n v="3"/>
    <n v="3"/>
    <n v="0"/>
    <n v="2"/>
    <n v="0"/>
    <s v="FF00FF"/>
    <n v="0"/>
    <n v="16711935"/>
    <s v="7F807F"/>
    <x v="7"/>
  </r>
  <r>
    <n v="169"/>
    <n v="4"/>
    <n v="3"/>
    <n v="0"/>
    <n v="2"/>
    <n v="0"/>
    <s v="FF00FF"/>
    <n v="0"/>
    <n v="16711935"/>
    <s v="7F807F"/>
    <x v="7"/>
  </r>
  <r>
    <n v="170"/>
    <n v="0"/>
    <n v="4"/>
    <n v="0"/>
    <n v="2"/>
    <n v="0"/>
    <s v="FF00"/>
    <n v="0"/>
    <n v="65280"/>
    <s v="7F80"/>
    <x v="8"/>
  </r>
  <r>
    <n v="171"/>
    <n v="1"/>
    <n v="4"/>
    <n v="0"/>
    <n v="2"/>
    <n v="0"/>
    <s v="FF00"/>
    <n v="0"/>
    <n v="65280"/>
    <s v="7F80"/>
    <x v="8"/>
  </r>
  <r>
    <n v="172"/>
    <n v="2"/>
    <n v="4"/>
    <n v="0"/>
    <n v="2"/>
    <n v="0"/>
    <s v="FF00"/>
    <n v="0"/>
    <n v="65280"/>
    <s v="7F80"/>
    <x v="8"/>
  </r>
  <r>
    <n v="173"/>
    <n v="3"/>
    <n v="4"/>
    <n v="0"/>
    <n v="2"/>
    <n v="0"/>
    <s v="FF00"/>
    <n v="0"/>
    <n v="65280"/>
    <s v="7F80"/>
    <x v="8"/>
  </r>
  <r>
    <n v="174"/>
    <n v="4"/>
    <n v="4"/>
    <n v="0"/>
    <n v="2"/>
    <n v="0"/>
    <s v="FF00"/>
    <n v="0"/>
    <n v="65280"/>
    <s v="7F80"/>
    <x v="8"/>
  </r>
  <r>
    <n v="175"/>
    <n v="0"/>
    <n v="0"/>
    <n v="1"/>
    <n v="2"/>
    <s v="0"/>
    <s v="0"/>
    <n v="0"/>
    <n v="0"/>
    <s v="0"/>
    <x v="0"/>
  </r>
  <r>
    <n v="176"/>
    <n v="1"/>
    <n v="0"/>
    <n v="1"/>
    <n v="2"/>
    <s v="7F"/>
    <s v="0"/>
    <n v="127"/>
    <n v="0"/>
    <s v="3F"/>
    <x v="1"/>
  </r>
  <r>
    <n v="177"/>
    <n v="2"/>
    <n v="0"/>
    <n v="1"/>
    <n v="2"/>
    <s v="7f0000"/>
    <s v="0"/>
    <n v="8323072"/>
    <n v="0"/>
    <s v="3F8000"/>
    <x v="2"/>
  </r>
  <r>
    <n v="178"/>
    <n v="3"/>
    <n v="0"/>
    <n v="1"/>
    <n v="2"/>
    <s v="7f007f"/>
    <s v="0"/>
    <n v="8323199"/>
    <n v="0"/>
    <s v="3F803F"/>
    <x v="3"/>
  </r>
  <r>
    <n v="179"/>
    <n v="4"/>
    <n v="0"/>
    <n v="1"/>
    <n v="2"/>
    <s v="007f00"/>
    <s v="0"/>
    <n v="32512"/>
    <n v="0"/>
    <s v="3F80"/>
    <x v="4"/>
  </r>
  <r>
    <n v="180"/>
    <n v="0"/>
    <n v="1"/>
    <n v="1"/>
    <n v="2"/>
    <s v="0"/>
    <s v="FF"/>
    <n v="0"/>
    <n v="255"/>
    <s v="7F"/>
    <x v="5"/>
  </r>
  <r>
    <n v="181"/>
    <n v="1"/>
    <n v="1"/>
    <n v="1"/>
    <n v="2"/>
    <s v="7F"/>
    <s v="FF"/>
    <n v="127"/>
    <n v="255"/>
    <s v="BF"/>
    <x v="17"/>
  </r>
  <r>
    <n v="182"/>
    <n v="2"/>
    <n v="1"/>
    <n v="1"/>
    <n v="2"/>
    <s v="7f0000"/>
    <s v="FF"/>
    <n v="8323072"/>
    <n v="255"/>
    <s v="3F807F"/>
    <x v="9"/>
  </r>
  <r>
    <n v="183"/>
    <n v="3"/>
    <n v="1"/>
    <n v="1"/>
    <n v="2"/>
    <s v="7f007f"/>
    <s v="FF"/>
    <n v="8323199"/>
    <n v="255"/>
    <s v="3F80BF"/>
    <x v="24"/>
  </r>
  <r>
    <n v="184"/>
    <n v="4"/>
    <n v="1"/>
    <n v="1"/>
    <n v="2"/>
    <s v="007f00"/>
    <s v="FF"/>
    <n v="32512"/>
    <n v="255"/>
    <s v="3FFF"/>
    <x v="28"/>
  </r>
  <r>
    <n v="185"/>
    <n v="0"/>
    <n v="2"/>
    <n v="1"/>
    <n v="2"/>
    <s v="0"/>
    <s v="FF0000"/>
    <n v="0"/>
    <n v="16711680"/>
    <s v="7F8000"/>
    <x v="6"/>
  </r>
  <r>
    <n v="186"/>
    <n v="1"/>
    <n v="2"/>
    <n v="1"/>
    <n v="2"/>
    <s v="7F"/>
    <s v="FF0000"/>
    <n v="127"/>
    <n v="16711680"/>
    <s v="7F803F"/>
    <x v="18"/>
  </r>
  <r>
    <n v="187"/>
    <n v="2"/>
    <n v="2"/>
    <n v="1"/>
    <n v="2"/>
    <s v="7f0000"/>
    <s v="FF0000"/>
    <n v="8323072"/>
    <n v="16711680"/>
    <s v="BF0000"/>
    <x v="21"/>
  </r>
  <r>
    <n v="188"/>
    <n v="3"/>
    <n v="2"/>
    <n v="1"/>
    <n v="2"/>
    <s v="7f007f"/>
    <s v="FF0000"/>
    <n v="8323199"/>
    <n v="16711680"/>
    <s v="BF003F"/>
    <x v="25"/>
  </r>
  <r>
    <n v="189"/>
    <n v="4"/>
    <n v="2"/>
    <n v="1"/>
    <n v="2"/>
    <s v="007f00"/>
    <s v="FF0000"/>
    <n v="32512"/>
    <n v="16711680"/>
    <s v="7FBF80"/>
    <x v="29"/>
  </r>
  <r>
    <n v="190"/>
    <n v="0"/>
    <n v="3"/>
    <n v="1"/>
    <n v="2"/>
    <s v="0"/>
    <s v="FF00FF"/>
    <n v="0"/>
    <n v="16711935"/>
    <s v="7F807F"/>
    <x v="7"/>
  </r>
  <r>
    <n v="191"/>
    <n v="1"/>
    <n v="3"/>
    <n v="1"/>
    <n v="2"/>
    <s v="7F"/>
    <s v="FF00FF"/>
    <n v="127"/>
    <n v="16711935"/>
    <s v="7F80BF"/>
    <x v="19"/>
  </r>
  <r>
    <n v="192"/>
    <n v="2"/>
    <n v="3"/>
    <n v="1"/>
    <n v="2"/>
    <s v="7f0000"/>
    <s v="FF00FF"/>
    <n v="8323072"/>
    <n v="16711935"/>
    <s v="BF007F"/>
    <x v="22"/>
  </r>
  <r>
    <n v="193"/>
    <n v="3"/>
    <n v="3"/>
    <n v="1"/>
    <n v="2"/>
    <s v="7f007f"/>
    <s v="FF00FF"/>
    <n v="8323199"/>
    <n v="16711935"/>
    <s v="BF00BF"/>
    <x v="26"/>
  </r>
  <r>
    <n v="194"/>
    <n v="4"/>
    <n v="3"/>
    <n v="1"/>
    <n v="2"/>
    <s v="007f00"/>
    <s v="FF00FF"/>
    <n v="32512"/>
    <n v="16711935"/>
    <s v="7FBFFF"/>
    <x v="30"/>
  </r>
  <r>
    <n v="195"/>
    <n v="0"/>
    <n v="4"/>
    <n v="1"/>
    <n v="2"/>
    <s v="0"/>
    <s v="FF00"/>
    <n v="0"/>
    <n v="65280"/>
    <s v="7F80"/>
    <x v="8"/>
  </r>
  <r>
    <n v="196"/>
    <n v="1"/>
    <n v="4"/>
    <n v="1"/>
    <n v="2"/>
    <s v="7F"/>
    <s v="FF00"/>
    <n v="127"/>
    <n v="65280"/>
    <s v="7FBF"/>
    <x v="20"/>
  </r>
  <r>
    <n v="197"/>
    <n v="2"/>
    <n v="4"/>
    <n v="1"/>
    <n v="2"/>
    <s v="7f0000"/>
    <s v="FF00"/>
    <n v="8323072"/>
    <n v="65280"/>
    <s v="3FFF80"/>
    <x v="23"/>
  </r>
  <r>
    <n v="198"/>
    <n v="3"/>
    <n v="4"/>
    <n v="1"/>
    <n v="2"/>
    <s v="7f007f"/>
    <s v="FF00"/>
    <n v="8323199"/>
    <n v="65280"/>
    <s v="3FFFBF"/>
    <x v="27"/>
  </r>
  <r>
    <n v="199"/>
    <n v="4"/>
    <n v="4"/>
    <n v="1"/>
    <n v="2"/>
    <s v="007f00"/>
    <s v="FF00"/>
    <n v="32512"/>
    <n v="65280"/>
    <s v="BF00"/>
    <x v="31"/>
  </r>
  <r>
    <n v="200"/>
    <n v="0"/>
    <n v="0"/>
    <n v="2"/>
    <n v="2"/>
    <s v="0"/>
    <s v="0"/>
    <n v="0"/>
    <n v="0"/>
    <s v="0"/>
    <x v="0"/>
  </r>
  <r>
    <n v="201"/>
    <n v="1"/>
    <n v="0"/>
    <n v="2"/>
    <n v="2"/>
    <s v="FF"/>
    <s v="0"/>
    <n v="255"/>
    <n v="0"/>
    <s v="7F"/>
    <x v="5"/>
  </r>
  <r>
    <n v="202"/>
    <n v="2"/>
    <n v="0"/>
    <n v="2"/>
    <n v="2"/>
    <s v="FF0000"/>
    <s v="0"/>
    <n v="16711680"/>
    <n v="0"/>
    <s v="7F8000"/>
    <x v="6"/>
  </r>
  <r>
    <n v="203"/>
    <n v="3"/>
    <n v="0"/>
    <n v="2"/>
    <n v="2"/>
    <s v="FF00FF"/>
    <s v="0"/>
    <n v="16711935"/>
    <n v="0"/>
    <s v="7F807F"/>
    <x v="7"/>
  </r>
  <r>
    <n v="204"/>
    <n v="4"/>
    <n v="0"/>
    <n v="2"/>
    <n v="2"/>
    <s v="FF00"/>
    <s v="0"/>
    <n v="65280"/>
    <n v="0"/>
    <s v="7F80"/>
    <x v="8"/>
  </r>
  <r>
    <n v="205"/>
    <n v="0"/>
    <n v="1"/>
    <n v="2"/>
    <n v="2"/>
    <s v="0"/>
    <s v="FF"/>
    <n v="0"/>
    <n v="255"/>
    <s v="7F"/>
    <x v="5"/>
  </r>
  <r>
    <n v="206"/>
    <n v="1"/>
    <n v="1"/>
    <n v="2"/>
    <n v="2"/>
    <s v="FF"/>
    <s v="FF"/>
    <n v="255"/>
    <n v="255"/>
    <s v="FF"/>
    <x v="32"/>
  </r>
  <r>
    <n v="207"/>
    <n v="2"/>
    <n v="1"/>
    <n v="2"/>
    <n v="2"/>
    <s v="FF0000"/>
    <s v="FF"/>
    <n v="16711680"/>
    <n v="255"/>
    <s v="7F807F"/>
    <x v="7"/>
  </r>
  <r>
    <n v="208"/>
    <n v="3"/>
    <n v="1"/>
    <n v="2"/>
    <n v="2"/>
    <s v="FF00FF"/>
    <s v="FF"/>
    <n v="16711935"/>
    <n v="255"/>
    <s v="7F80FF"/>
    <x v="33"/>
  </r>
  <r>
    <n v="209"/>
    <n v="4"/>
    <n v="1"/>
    <n v="2"/>
    <n v="2"/>
    <s v="FF00"/>
    <s v="FF"/>
    <n v="65280"/>
    <n v="255"/>
    <s v="7FFF"/>
    <x v="34"/>
  </r>
  <r>
    <n v="210"/>
    <n v="0"/>
    <n v="2"/>
    <n v="2"/>
    <n v="2"/>
    <s v="0"/>
    <s v="FF0000"/>
    <n v="0"/>
    <n v="16711680"/>
    <s v="7F8000"/>
    <x v="6"/>
  </r>
  <r>
    <n v="211"/>
    <n v="1"/>
    <n v="2"/>
    <n v="2"/>
    <n v="2"/>
    <s v="FF"/>
    <s v="FF0000"/>
    <n v="255"/>
    <n v="16711680"/>
    <s v="7F807F"/>
    <x v="7"/>
  </r>
  <r>
    <n v="212"/>
    <n v="2"/>
    <n v="2"/>
    <n v="2"/>
    <n v="2"/>
    <s v="FF0000"/>
    <s v="FF0000"/>
    <n v="16711680"/>
    <n v="16711680"/>
    <s v="FF0000"/>
    <x v="35"/>
  </r>
  <r>
    <n v="213"/>
    <n v="3"/>
    <n v="2"/>
    <n v="2"/>
    <n v="2"/>
    <s v="FF00FF"/>
    <s v="FF0000"/>
    <n v="16711935"/>
    <n v="16711680"/>
    <s v="FF007F"/>
    <x v="36"/>
  </r>
  <r>
    <n v="214"/>
    <n v="4"/>
    <n v="2"/>
    <n v="2"/>
    <n v="2"/>
    <s v="FF00"/>
    <s v="FF0000"/>
    <n v="65280"/>
    <n v="16711680"/>
    <s v="7FFF80"/>
    <x v="37"/>
  </r>
  <r>
    <n v="215"/>
    <n v="0"/>
    <n v="3"/>
    <n v="2"/>
    <n v="2"/>
    <s v="0"/>
    <s v="FF00FF"/>
    <n v="0"/>
    <n v="16711935"/>
    <s v="7F807F"/>
    <x v="7"/>
  </r>
  <r>
    <n v="216"/>
    <n v="1"/>
    <n v="3"/>
    <n v="2"/>
    <n v="2"/>
    <s v="FF"/>
    <s v="FF00FF"/>
    <n v="255"/>
    <n v="16711935"/>
    <s v="7F80FF"/>
    <x v="33"/>
  </r>
  <r>
    <n v="217"/>
    <n v="2"/>
    <n v="3"/>
    <n v="2"/>
    <n v="2"/>
    <s v="FF0000"/>
    <s v="FF00FF"/>
    <n v="16711680"/>
    <n v="16711935"/>
    <s v="FF007F"/>
    <x v="36"/>
  </r>
  <r>
    <n v="218"/>
    <n v="3"/>
    <n v="3"/>
    <n v="2"/>
    <n v="2"/>
    <s v="FF00FF"/>
    <s v="FF00FF"/>
    <n v="16711935"/>
    <n v="16711935"/>
    <s v="FF00FF"/>
    <x v="38"/>
  </r>
  <r>
    <n v="219"/>
    <n v="4"/>
    <n v="3"/>
    <n v="2"/>
    <n v="2"/>
    <s v="FF00"/>
    <s v="FF00FF"/>
    <n v="65280"/>
    <n v="16711935"/>
    <s v="7FFFFF"/>
    <x v="39"/>
  </r>
  <r>
    <n v="220"/>
    <n v="0"/>
    <n v="4"/>
    <n v="2"/>
    <n v="2"/>
    <s v="0"/>
    <s v="FF00"/>
    <n v="0"/>
    <n v="65280"/>
    <s v="7F80"/>
    <x v="8"/>
  </r>
  <r>
    <n v="221"/>
    <n v="1"/>
    <n v="4"/>
    <n v="2"/>
    <n v="2"/>
    <s v="FF"/>
    <s v="FF00"/>
    <n v="255"/>
    <n v="65280"/>
    <s v="7FFF"/>
    <x v="34"/>
  </r>
  <r>
    <n v="222"/>
    <n v="2"/>
    <n v="4"/>
    <n v="2"/>
    <n v="2"/>
    <s v="FF0000"/>
    <s v="FF00"/>
    <n v="16711680"/>
    <n v="65280"/>
    <s v="7FFF80"/>
    <x v="37"/>
  </r>
  <r>
    <n v="223"/>
    <n v="3"/>
    <n v="4"/>
    <n v="2"/>
    <n v="2"/>
    <s v="FF00FF"/>
    <s v="FF00"/>
    <n v="16711935"/>
    <n v="65280"/>
    <s v="7FFFFF"/>
    <x v="39"/>
  </r>
  <r>
    <n v="224"/>
    <n v="4"/>
    <n v="4"/>
    <n v="2"/>
    <n v="2"/>
    <s v="FF00"/>
    <s v="FF00"/>
    <n v="65280"/>
    <n v="65280"/>
    <s v="FF00"/>
    <x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M1:N43" firstHeaderRow="1" firstDataRow="1" firstDataCol="1"/>
  <pivotFields count="11"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dataField="1" compact="0" outline="0" subtotalTop="0" showAll="0"/>
    <pivotField axis="axisRow" compact="0" outline="0" subtotalTop="0" showAll="0">
      <items count="59">
        <item x="0"/>
        <item x="1"/>
        <item x="5"/>
        <item x="17"/>
        <item x="32"/>
        <item m="1" x="50"/>
        <item x="28"/>
        <item m="1" x="43"/>
        <item x="8"/>
        <item x="20"/>
        <item x="34"/>
        <item m="1" x="46"/>
        <item x="40"/>
        <item m="1" x="55"/>
        <item m="1" x="47"/>
        <item m="1" x="52"/>
        <item m="1" x="41"/>
        <item m="1" x="54"/>
        <item m="1" x="45"/>
        <item m="1" x="57"/>
        <item m="1" x="48"/>
        <item x="6"/>
        <item x="18"/>
        <item x="7"/>
        <item x="19"/>
        <item x="33"/>
        <item m="1" x="49"/>
        <item m="1" x="42"/>
        <item x="37"/>
        <item x="39"/>
        <item m="1" x="53"/>
        <item m="1" x="44"/>
        <item m="1" x="51"/>
        <item m="1" x="56"/>
        <item x="35"/>
        <item x="36"/>
        <item x="38"/>
        <item x="2"/>
        <item x="3"/>
        <item x="4"/>
        <item x="9"/>
        <item x="10"/>
        <item x="11"/>
        <item x="12"/>
        <item x="13"/>
        <item x="14"/>
        <item x="15"/>
        <item x="16"/>
        <item x="21"/>
        <item x="22"/>
        <item x="23"/>
        <item x="24"/>
        <item x="25"/>
        <item x="26"/>
        <item x="27"/>
        <item x="29"/>
        <item x="30"/>
        <item x="31"/>
        <item t="default"/>
      </items>
    </pivotField>
  </pivotFields>
  <rowFields count="1">
    <field x="10"/>
  </rowFields>
  <rowItems count="42">
    <i>
      <x/>
    </i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2"/>
    </i>
    <i>
      <x v="21"/>
    </i>
    <i>
      <x v="22"/>
    </i>
    <i>
      <x v="23"/>
    </i>
    <i>
      <x v="24"/>
    </i>
    <i>
      <x v="25"/>
    </i>
    <i>
      <x v="28"/>
    </i>
    <i>
      <x v="29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Items count="1">
    <i/>
  </colItems>
  <dataFields count="1">
    <dataField name="Count of rgbavg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Y226"/>
  <sheetViews>
    <sheetView tabSelected="1" zoomScaleNormal="100" workbookViewId="0">
      <pane ySplit="1" topLeftCell="A2" activePane="bottomLeft" state="frozen"/>
      <selection pane="bottomLeft" activeCell="X70" sqref="X70"/>
    </sheetView>
  </sheetViews>
  <sheetFormatPr defaultRowHeight="15"/>
  <cols>
    <col min="2" max="2" width="6.85546875" customWidth="1"/>
    <col min="3" max="5" width="6.85546875" style="1" customWidth="1"/>
    <col min="6" max="6" width="10.140625" style="1" customWidth="1"/>
  </cols>
  <sheetData>
    <row r="1" spans="1:25">
      <c r="A1" t="s">
        <v>3</v>
      </c>
      <c r="B1" s="2" t="s">
        <v>0</v>
      </c>
      <c r="C1" s="3" t="s">
        <v>1</v>
      </c>
      <c r="D1" s="4" t="s">
        <v>2</v>
      </c>
      <c r="E1" s="19" t="s">
        <v>118</v>
      </c>
      <c r="F1" s="21" t="s">
        <v>119</v>
      </c>
      <c r="G1" s="20" t="s">
        <v>120</v>
      </c>
      <c r="I1" s="17" t="s">
        <v>6</v>
      </c>
      <c r="J1" s="17" t="s">
        <v>7</v>
      </c>
      <c r="K1" s="17" t="s">
        <v>8</v>
      </c>
      <c r="L1" s="17" t="s">
        <v>4</v>
      </c>
      <c r="M1" s="17" t="s">
        <v>5</v>
      </c>
      <c r="N1" s="17" t="s">
        <v>121</v>
      </c>
      <c r="O1" s="17" t="s">
        <v>122</v>
      </c>
      <c r="P1" s="17" t="s">
        <v>123</v>
      </c>
      <c r="Q1" s="17" t="s">
        <v>124</v>
      </c>
      <c r="R1" s="17" t="s">
        <v>125</v>
      </c>
      <c r="S1" s="17" t="s">
        <v>126</v>
      </c>
      <c r="T1" s="17" t="s">
        <v>127</v>
      </c>
      <c r="U1" s="17" t="s">
        <v>129</v>
      </c>
      <c r="V1" s="17" t="s">
        <v>128</v>
      </c>
      <c r="W1" s="17" t="s">
        <v>130</v>
      </c>
      <c r="X1" s="17" t="s">
        <v>153</v>
      </c>
      <c r="Y1" s="17" t="s">
        <v>49</v>
      </c>
    </row>
    <row r="2" spans="1:25" hidden="1">
      <c r="A2">
        <v>0</v>
      </c>
      <c r="B2" s="1">
        <v>0</v>
      </c>
      <c r="C2" s="1">
        <v>0</v>
      </c>
      <c r="D2" s="1">
        <v>0</v>
      </c>
      <c r="E2" s="1">
        <f>INT(B2/2)</f>
        <v>0</v>
      </c>
      <c r="F2" s="1">
        <f t="shared" ref="F2:F6" si="0">INT(C2/2)</f>
        <v>0</v>
      </c>
      <c r="G2" s="1">
        <f t="shared" ref="G2:G6" si="1">INT(D2/2)</f>
        <v>0</v>
      </c>
      <c r="I2">
        <v>0</v>
      </c>
      <c r="J2" s="1">
        <v>0</v>
      </c>
      <c r="K2" s="1">
        <v>0</v>
      </c>
      <c r="L2" s="1">
        <v>0</v>
      </c>
      <c r="M2" s="1">
        <v>0</v>
      </c>
      <c r="N2">
        <f>INT(VLOOKUP($J2,$A$2:$G$6,2,0)*$L2/2)</f>
        <v>0</v>
      </c>
      <c r="O2">
        <f>INT(VLOOKUP($J2,$A$2:$G$6,3,0)*$L2/2)</f>
        <v>0</v>
      </c>
      <c r="P2">
        <f>INT(VLOOKUP($J2,$A$2:$G$6,4,0)*$L2/2)</f>
        <v>0</v>
      </c>
      <c r="Q2">
        <f>INT(VLOOKUP($K2,$A$2:$G$6,2,0)*$M2/2)</f>
        <v>0</v>
      </c>
      <c r="R2">
        <f>INT(VLOOKUP($K2,$A$2:$G$6,3,0)*$M2/2)</f>
        <v>0</v>
      </c>
      <c r="S2">
        <f>INT(VLOOKUP($K2,$A$2:$G$6,4,0)*$M2/2)</f>
        <v>0</v>
      </c>
      <c r="T2">
        <f>INT((N2+Q2)/2)</f>
        <v>0</v>
      </c>
      <c r="U2">
        <f>INT((O2+R2)/2)</f>
        <v>0</v>
      </c>
      <c r="V2">
        <f>INT((P2+S2)/2)</f>
        <v>0</v>
      </c>
      <c r="W2" t="str">
        <f>DEC2HEX(T2,2)&amp;DEC2HEX(U2,2)&amp;DEC2HEX(V2,2)</f>
        <v>000000</v>
      </c>
      <c r="X2" t="b">
        <f>AND(J2=K2,L2=1,M2=1)</f>
        <v>0</v>
      </c>
      <c r="Y2">
        <f>INT(W2&lt;&gt;W1)</f>
        <v>1</v>
      </c>
    </row>
    <row r="3" spans="1:25" hidden="1">
      <c r="A3">
        <v>1</v>
      </c>
      <c r="B3" s="1">
        <v>0</v>
      </c>
      <c r="C3" s="1">
        <v>0</v>
      </c>
      <c r="D3" s="1">
        <v>255</v>
      </c>
      <c r="E3" s="1">
        <f t="shared" ref="E3:E6" si="2">INT(B3/2)</f>
        <v>0</v>
      </c>
      <c r="F3" s="1">
        <f t="shared" si="0"/>
        <v>0</v>
      </c>
      <c r="G3" s="1">
        <f t="shared" si="1"/>
        <v>127</v>
      </c>
      <c r="I3">
        <v>1</v>
      </c>
      <c r="J3" s="1">
        <v>1</v>
      </c>
      <c r="K3" s="1">
        <v>0</v>
      </c>
      <c r="L3" s="1">
        <v>0</v>
      </c>
      <c r="M3" s="1">
        <v>0</v>
      </c>
      <c r="N3">
        <f>INT(VLOOKUP($J3,$A$2:$G$6,2,0)*$L3/2)</f>
        <v>0</v>
      </c>
      <c r="O3">
        <f>INT(VLOOKUP($J3,$A$2:$G$6,3,0)*$L3/2)</f>
        <v>0</v>
      </c>
      <c r="P3">
        <f>INT(VLOOKUP($J3,$A$2:$G$6,4,0)*$L3/2)</f>
        <v>0</v>
      </c>
      <c r="Q3">
        <f>INT(VLOOKUP($K3,$A$2:$G$6,2,0)*$M3/2)</f>
        <v>0</v>
      </c>
      <c r="R3">
        <f>INT(VLOOKUP($K3,$A$2:$G$6,3,0)*$M3/2)</f>
        <v>0</v>
      </c>
      <c r="S3">
        <f>INT(VLOOKUP($K3,$A$2:$G$6,4,0)*$M3/2)</f>
        <v>0</v>
      </c>
      <c r="T3">
        <f>INT((N3+Q3)/2)</f>
        <v>0</v>
      </c>
      <c r="U3">
        <f>INT((O3+R3)/2)</f>
        <v>0</v>
      </c>
      <c r="V3">
        <f>INT((P3+S3)/2)</f>
        <v>0</v>
      </c>
      <c r="W3" t="str">
        <f t="shared" ref="W3:W66" si="3">DEC2HEX(T3,2)&amp;DEC2HEX(U3,2)&amp;DEC2HEX(V3,2)</f>
        <v>000000</v>
      </c>
      <c r="X3" t="b">
        <f t="shared" ref="X3:X66" si="4">AND(J3=K3,L3=1,M3=1)</f>
        <v>0</v>
      </c>
      <c r="Y3">
        <f t="shared" ref="Y3:Y66" si="5">INT(W3&lt;&gt;W2)</f>
        <v>0</v>
      </c>
    </row>
    <row r="4" spans="1:25" hidden="1">
      <c r="A4">
        <v>2</v>
      </c>
      <c r="B4" s="1">
        <v>255</v>
      </c>
      <c r="C4" s="1">
        <v>0</v>
      </c>
      <c r="D4" s="1">
        <v>0</v>
      </c>
      <c r="E4" s="1">
        <f t="shared" si="2"/>
        <v>127</v>
      </c>
      <c r="F4" s="1">
        <f t="shared" si="0"/>
        <v>0</v>
      </c>
      <c r="G4" s="1">
        <f t="shared" si="1"/>
        <v>0</v>
      </c>
      <c r="I4">
        <v>2</v>
      </c>
      <c r="J4" s="1">
        <v>2</v>
      </c>
      <c r="K4" s="1">
        <v>0</v>
      </c>
      <c r="L4" s="1">
        <v>0</v>
      </c>
      <c r="M4" s="1">
        <v>0</v>
      </c>
      <c r="N4">
        <f>INT(VLOOKUP($J4,$A$2:$G$6,2,0)*$L4/2)</f>
        <v>0</v>
      </c>
      <c r="O4">
        <f>INT(VLOOKUP($J4,$A$2:$G$6,3,0)*$L4/2)</f>
        <v>0</v>
      </c>
      <c r="P4">
        <f>INT(VLOOKUP($J4,$A$2:$G$6,4,0)*$L4/2)</f>
        <v>0</v>
      </c>
      <c r="Q4">
        <f>INT(VLOOKUP($K4,$A$2:$G$6,2,0)*$M4/2)</f>
        <v>0</v>
      </c>
      <c r="R4">
        <f>INT(VLOOKUP($K4,$A$2:$G$6,3,0)*$M4/2)</f>
        <v>0</v>
      </c>
      <c r="S4">
        <f>INT(VLOOKUP($K4,$A$2:$G$6,4,0)*$M4/2)</f>
        <v>0</v>
      </c>
      <c r="T4">
        <f>INT((N4+Q4)/2)</f>
        <v>0</v>
      </c>
      <c r="U4">
        <f>INT((O4+R4)/2)</f>
        <v>0</v>
      </c>
      <c r="V4">
        <f>INT((P4+S4)/2)</f>
        <v>0</v>
      </c>
      <c r="W4" t="str">
        <f t="shared" si="3"/>
        <v>000000</v>
      </c>
      <c r="X4" t="b">
        <f t="shared" si="4"/>
        <v>0</v>
      </c>
      <c r="Y4">
        <f t="shared" si="5"/>
        <v>0</v>
      </c>
    </row>
    <row r="5" spans="1:25" hidden="1">
      <c r="A5">
        <v>3</v>
      </c>
      <c r="B5" s="1">
        <v>255</v>
      </c>
      <c r="C5" s="1">
        <v>0</v>
      </c>
      <c r="D5" s="1">
        <v>255</v>
      </c>
      <c r="E5" s="1">
        <f t="shared" si="2"/>
        <v>127</v>
      </c>
      <c r="F5" s="1">
        <f t="shared" si="0"/>
        <v>0</v>
      </c>
      <c r="G5" s="1">
        <f t="shared" si="1"/>
        <v>127</v>
      </c>
      <c r="I5">
        <v>3</v>
      </c>
      <c r="J5" s="1">
        <v>3</v>
      </c>
      <c r="K5" s="1">
        <v>0</v>
      </c>
      <c r="L5" s="1">
        <v>0</v>
      </c>
      <c r="M5" s="1">
        <v>0</v>
      </c>
      <c r="N5">
        <f>INT(VLOOKUP($J5,$A$2:$G$6,2,0)*$L5/2)</f>
        <v>0</v>
      </c>
      <c r="O5">
        <f>INT(VLOOKUP($J5,$A$2:$G$6,3,0)*$L5/2)</f>
        <v>0</v>
      </c>
      <c r="P5">
        <f>INT(VLOOKUP($J5,$A$2:$G$6,4,0)*$L5/2)</f>
        <v>0</v>
      </c>
      <c r="Q5">
        <f>INT(VLOOKUP($K5,$A$2:$G$6,2,0)*$M5/2)</f>
        <v>0</v>
      </c>
      <c r="R5">
        <f>INT(VLOOKUP($K5,$A$2:$G$6,3,0)*$M5/2)</f>
        <v>0</v>
      </c>
      <c r="S5">
        <f>INT(VLOOKUP($K5,$A$2:$G$6,4,0)*$M5/2)</f>
        <v>0</v>
      </c>
      <c r="T5">
        <f>INT((N5+Q5)/2)</f>
        <v>0</v>
      </c>
      <c r="U5">
        <f>INT((O5+R5)/2)</f>
        <v>0</v>
      </c>
      <c r="V5">
        <f>INT((P5+S5)/2)</f>
        <v>0</v>
      </c>
      <c r="W5" t="str">
        <f t="shared" si="3"/>
        <v>000000</v>
      </c>
      <c r="X5" t="b">
        <f t="shared" si="4"/>
        <v>0</v>
      </c>
      <c r="Y5">
        <f t="shared" si="5"/>
        <v>0</v>
      </c>
    </row>
    <row r="6" spans="1:25" hidden="1">
      <c r="A6">
        <v>4</v>
      </c>
      <c r="B6" s="1">
        <v>0</v>
      </c>
      <c r="C6" s="1">
        <v>255</v>
      </c>
      <c r="D6" s="1">
        <v>0</v>
      </c>
      <c r="E6" s="1">
        <f t="shared" si="2"/>
        <v>0</v>
      </c>
      <c r="F6" s="1">
        <f t="shared" si="0"/>
        <v>127</v>
      </c>
      <c r="G6" s="1">
        <f t="shared" si="1"/>
        <v>0</v>
      </c>
      <c r="I6">
        <v>4</v>
      </c>
      <c r="J6" s="1">
        <v>4</v>
      </c>
      <c r="K6" s="1">
        <v>0</v>
      </c>
      <c r="L6" s="1">
        <v>0</v>
      </c>
      <c r="M6" s="1">
        <v>0</v>
      </c>
      <c r="N6">
        <f>INT(VLOOKUP($J6,$A$2:$G$6,2,0)*$L6/2)</f>
        <v>0</v>
      </c>
      <c r="O6">
        <f>INT(VLOOKUP($J6,$A$2:$G$6,3,0)*$L6/2)</f>
        <v>0</v>
      </c>
      <c r="P6">
        <f>INT(VLOOKUP($J6,$A$2:$G$6,4,0)*$L6/2)</f>
        <v>0</v>
      </c>
      <c r="Q6">
        <f>INT(VLOOKUP($K6,$A$2:$G$6,2,0)*$M6/2)</f>
        <v>0</v>
      </c>
      <c r="R6">
        <f>INT(VLOOKUP($K6,$A$2:$G$6,3,0)*$M6/2)</f>
        <v>0</v>
      </c>
      <c r="S6">
        <f>INT(VLOOKUP($K6,$A$2:$G$6,4,0)*$M6/2)</f>
        <v>0</v>
      </c>
      <c r="T6">
        <f>INT((N6+Q6)/2)</f>
        <v>0</v>
      </c>
      <c r="U6">
        <f>INT((O6+R6)/2)</f>
        <v>0</v>
      </c>
      <c r="V6">
        <f>INT((P6+S6)/2)</f>
        <v>0</v>
      </c>
      <c r="W6" t="str">
        <f t="shared" si="3"/>
        <v>000000</v>
      </c>
      <c r="X6" t="b">
        <f t="shared" si="4"/>
        <v>0</v>
      </c>
      <c r="Y6">
        <f t="shared" si="5"/>
        <v>0</v>
      </c>
    </row>
    <row r="7" spans="1:25" hidden="1">
      <c r="B7" s="1"/>
      <c r="I7">
        <v>5</v>
      </c>
      <c r="J7" s="1">
        <v>0</v>
      </c>
      <c r="K7" s="1">
        <v>1</v>
      </c>
      <c r="L7" s="1">
        <v>0</v>
      </c>
      <c r="M7" s="1">
        <v>0</v>
      </c>
      <c r="N7">
        <f>INT(VLOOKUP($J7,$A$2:$G$6,2,0)*$L7/2)</f>
        <v>0</v>
      </c>
      <c r="O7">
        <f>INT(VLOOKUP($J7,$A$2:$G$6,3,0)*$L7/2)</f>
        <v>0</v>
      </c>
      <c r="P7">
        <f>INT(VLOOKUP($J7,$A$2:$G$6,4,0)*$L7/2)</f>
        <v>0</v>
      </c>
      <c r="Q7">
        <f>INT(VLOOKUP($K7,$A$2:$G$6,2,0)*$M7/2)</f>
        <v>0</v>
      </c>
      <c r="R7">
        <f>INT(VLOOKUP($K7,$A$2:$G$6,3,0)*$M7/2)</f>
        <v>0</v>
      </c>
      <c r="S7">
        <f>INT(VLOOKUP($K7,$A$2:$G$6,4,0)*$M7/2)</f>
        <v>0</v>
      </c>
      <c r="T7">
        <f>INT((N7+Q7)/2)</f>
        <v>0</v>
      </c>
      <c r="U7">
        <f>INT((O7+R7)/2)</f>
        <v>0</v>
      </c>
      <c r="V7">
        <f>INT((P7+S7)/2)</f>
        <v>0</v>
      </c>
      <c r="W7" t="str">
        <f t="shared" si="3"/>
        <v>000000</v>
      </c>
      <c r="X7" t="b">
        <f t="shared" si="4"/>
        <v>0</v>
      </c>
      <c r="Y7">
        <f t="shared" si="5"/>
        <v>0</v>
      </c>
    </row>
    <row r="8" spans="1:25" hidden="1">
      <c r="I8">
        <v>6</v>
      </c>
      <c r="J8" s="1">
        <v>1</v>
      </c>
      <c r="K8" s="1">
        <v>1</v>
      </c>
      <c r="L8" s="1">
        <v>0</v>
      </c>
      <c r="M8" s="1">
        <v>0</v>
      </c>
      <c r="N8">
        <f>INT(VLOOKUP($J8,$A$2:$G$6,2,0)*$L8/2)</f>
        <v>0</v>
      </c>
      <c r="O8">
        <f>INT(VLOOKUP($J8,$A$2:$G$6,3,0)*$L8/2)</f>
        <v>0</v>
      </c>
      <c r="P8">
        <f>INT(VLOOKUP($J8,$A$2:$G$6,4,0)*$L8/2)</f>
        <v>0</v>
      </c>
      <c r="Q8">
        <f>INT(VLOOKUP($K8,$A$2:$G$6,2,0)*$M8/2)</f>
        <v>0</v>
      </c>
      <c r="R8">
        <f>INT(VLOOKUP($K8,$A$2:$G$6,3,0)*$M8/2)</f>
        <v>0</v>
      </c>
      <c r="S8">
        <f>INT(VLOOKUP($K8,$A$2:$G$6,4,0)*$M8/2)</f>
        <v>0</v>
      </c>
      <c r="T8">
        <f>INT((N8+Q8)/2)</f>
        <v>0</v>
      </c>
      <c r="U8">
        <f>INT((O8+R8)/2)</f>
        <v>0</v>
      </c>
      <c r="V8">
        <f>INT((P8+S8)/2)</f>
        <v>0</v>
      </c>
      <c r="W8" t="str">
        <f t="shared" si="3"/>
        <v>000000</v>
      </c>
      <c r="X8" t="b">
        <f t="shared" si="4"/>
        <v>0</v>
      </c>
      <c r="Y8">
        <f t="shared" si="5"/>
        <v>0</v>
      </c>
    </row>
    <row r="9" spans="1:25" hidden="1">
      <c r="I9">
        <v>7</v>
      </c>
      <c r="J9" s="1">
        <v>2</v>
      </c>
      <c r="K9" s="1">
        <v>1</v>
      </c>
      <c r="L9" s="1">
        <v>0</v>
      </c>
      <c r="M9" s="1">
        <v>0</v>
      </c>
      <c r="N9">
        <f>INT(VLOOKUP($J9,$A$2:$G$6,2,0)*$L9/2)</f>
        <v>0</v>
      </c>
      <c r="O9">
        <f>INT(VLOOKUP($J9,$A$2:$G$6,3,0)*$L9/2)</f>
        <v>0</v>
      </c>
      <c r="P9">
        <f>INT(VLOOKUP($J9,$A$2:$G$6,4,0)*$L9/2)</f>
        <v>0</v>
      </c>
      <c r="Q9">
        <f>INT(VLOOKUP($K9,$A$2:$G$6,2,0)*$M9/2)</f>
        <v>0</v>
      </c>
      <c r="R9">
        <f>INT(VLOOKUP($K9,$A$2:$G$6,3,0)*$M9/2)</f>
        <v>0</v>
      </c>
      <c r="S9">
        <f>INT(VLOOKUP($K9,$A$2:$G$6,4,0)*$M9/2)</f>
        <v>0</v>
      </c>
      <c r="T9">
        <f>INT((N9+Q9)/2)</f>
        <v>0</v>
      </c>
      <c r="U9">
        <f>INT((O9+R9)/2)</f>
        <v>0</v>
      </c>
      <c r="V9">
        <f>INT((P9+S9)/2)</f>
        <v>0</v>
      </c>
      <c r="W9" t="str">
        <f t="shared" si="3"/>
        <v>000000</v>
      </c>
      <c r="X9" t="b">
        <f t="shared" si="4"/>
        <v>0</v>
      </c>
      <c r="Y9">
        <f t="shared" si="5"/>
        <v>0</v>
      </c>
    </row>
    <row r="10" spans="1:25" hidden="1">
      <c r="I10">
        <v>8</v>
      </c>
      <c r="J10" s="1">
        <v>3</v>
      </c>
      <c r="K10" s="1">
        <v>1</v>
      </c>
      <c r="L10" s="1">
        <v>0</v>
      </c>
      <c r="M10" s="1">
        <v>0</v>
      </c>
      <c r="N10">
        <f>INT(VLOOKUP($J10,$A$2:$G$6,2,0)*$L10/2)</f>
        <v>0</v>
      </c>
      <c r="O10">
        <f>INT(VLOOKUP($J10,$A$2:$G$6,3,0)*$L10/2)</f>
        <v>0</v>
      </c>
      <c r="P10">
        <f>INT(VLOOKUP($J10,$A$2:$G$6,4,0)*$L10/2)</f>
        <v>0</v>
      </c>
      <c r="Q10">
        <f>INT(VLOOKUP($K10,$A$2:$G$6,2,0)*$M10/2)</f>
        <v>0</v>
      </c>
      <c r="R10">
        <f>INT(VLOOKUP($K10,$A$2:$G$6,3,0)*$M10/2)</f>
        <v>0</v>
      </c>
      <c r="S10">
        <f>INT(VLOOKUP($K10,$A$2:$G$6,4,0)*$M10/2)</f>
        <v>0</v>
      </c>
      <c r="T10">
        <f>INT((N10+Q10)/2)</f>
        <v>0</v>
      </c>
      <c r="U10">
        <f>INT((O10+R10)/2)</f>
        <v>0</v>
      </c>
      <c r="V10">
        <f>INT((P10+S10)/2)</f>
        <v>0</v>
      </c>
      <c r="W10" t="str">
        <f t="shared" si="3"/>
        <v>000000</v>
      </c>
      <c r="X10" t="b">
        <f t="shared" si="4"/>
        <v>0</v>
      </c>
      <c r="Y10">
        <f t="shared" si="5"/>
        <v>0</v>
      </c>
    </row>
    <row r="11" spans="1:25" hidden="1">
      <c r="I11">
        <v>9</v>
      </c>
      <c r="J11" s="1">
        <v>4</v>
      </c>
      <c r="K11" s="1">
        <v>1</v>
      </c>
      <c r="L11" s="1">
        <v>0</v>
      </c>
      <c r="M11" s="1">
        <v>0</v>
      </c>
      <c r="N11">
        <f>INT(VLOOKUP($J11,$A$2:$G$6,2,0)*$L11/2)</f>
        <v>0</v>
      </c>
      <c r="O11">
        <f>INT(VLOOKUP($J11,$A$2:$G$6,3,0)*$L11/2)</f>
        <v>0</v>
      </c>
      <c r="P11">
        <f>INT(VLOOKUP($J11,$A$2:$G$6,4,0)*$L11/2)</f>
        <v>0</v>
      </c>
      <c r="Q11">
        <f>INT(VLOOKUP($K11,$A$2:$G$6,2,0)*$M11/2)</f>
        <v>0</v>
      </c>
      <c r="R11">
        <f>INT(VLOOKUP($K11,$A$2:$G$6,3,0)*$M11/2)</f>
        <v>0</v>
      </c>
      <c r="S11">
        <f>INT(VLOOKUP($K11,$A$2:$G$6,4,0)*$M11/2)</f>
        <v>0</v>
      </c>
      <c r="T11">
        <f>INT((N11+Q11)/2)</f>
        <v>0</v>
      </c>
      <c r="U11">
        <f>INT((O11+R11)/2)</f>
        <v>0</v>
      </c>
      <c r="V11">
        <f>INT((P11+S11)/2)</f>
        <v>0</v>
      </c>
      <c r="W11" t="str">
        <f t="shared" si="3"/>
        <v>000000</v>
      </c>
      <c r="X11" t="b">
        <f t="shared" si="4"/>
        <v>0</v>
      </c>
      <c r="Y11">
        <f t="shared" si="5"/>
        <v>0</v>
      </c>
    </row>
    <row r="12" spans="1:25" hidden="1">
      <c r="I12">
        <v>10</v>
      </c>
      <c r="J12" s="1">
        <v>0</v>
      </c>
      <c r="K12" s="1">
        <v>2</v>
      </c>
      <c r="L12" s="1">
        <v>0</v>
      </c>
      <c r="M12" s="1">
        <v>0</v>
      </c>
      <c r="N12">
        <f>INT(VLOOKUP($J12,$A$2:$G$6,2,0)*$L12/2)</f>
        <v>0</v>
      </c>
      <c r="O12">
        <f>INT(VLOOKUP($J12,$A$2:$G$6,3,0)*$L12/2)</f>
        <v>0</v>
      </c>
      <c r="P12">
        <f>INT(VLOOKUP($J12,$A$2:$G$6,4,0)*$L12/2)</f>
        <v>0</v>
      </c>
      <c r="Q12">
        <f>INT(VLOOKUP($K12,$A$2:$G$6,2,0)*$M12/2)</f>
        <v>0</v>
      </c>
      <c r="R12">
        <f>INT(VLOOKUP($K12,$A$2:$G$6,3,0)*$M12/2)</f>
        <v>0</v>
      </c>
      <c r="S12">
        <f>INT(VLOOKUP($K12,$A$2:$G$6,4,0)*$M12/2)</f>
        <v>0</v>
      </c>
      <c r="T12">
        <f>INT((N12+Q12)/2)</f>
        <v>0</v>
      </c>
      <c r="U12">
        <f>INT((O12+R12)/2)</f>
        <v>0</v>
      </c>
      <c r="V12">
        <f>INT((P12+S12)/2)</f>
        <v>0</v>
      </c>
      <c r="W12" t="str">
        <f t="shared" si="3"/>
        <v>000000</v>
      </c>
      <c r="X12" t="b">
        <f t="shared" si="4"/>
        <v>0</v>
      </c>
      <c r="Y12">
        <f t="shared" si="5"/>
        <v>0</v>
      </c>
    </row>
    <row r="13" spans="1:25" hidden="1">
      <c r="I13">
        <v>11</v>
      </c>
      <c r="J13" s="1">
        <v>1</v>
      </c>
      <c r="K13" s="1">
        <v>2</v>
      </c>
      <c r="L13" s="1">
        <v>0</v>
      </c>
      <c r="M13" s="1">
        <v>0</v>
      </c>
      <c r="N13">
        <f>INT(VLOOKUP($J13,$A$2:$G$6,2,0)*$L13/2)</f>
        <v>0</v>
      </c>
      <c r="O13">
        <f>INT(VLOOKUP($J13,$A$2:$G$6,3,0)*$L13/2)</f>
        <v>0</v>
      </c>
      <c r="P13">
        <f>INT(VLOOKUP($J13,$A$2:$G$6,4,0)*$L13/2)</f>
        <v>0</v>
      </c>
      <c r="Q13">
        <f>INT(VLOOKUP($K13,$A$2:$G$6,2,0)*$M13/2)</f>
        <v>0</v>
      </c>
      <c r="R13">
        <f>INT(VLOOKUP($K13,$A$2:$G$6,3,0)*$M13/2)</f>
        <v>0</v>
      </c>
      <c r="S13">
        <f>INT(VLOOKUP($K13,$A$2:$G$6,4,0)*$M13/2)</f>
        <v>0</v>
      </c>
      <c r="T13">
        <f>INT((N13+Q13)/2)</f>
        <v>0</v>
      </c>
      <c r="U13">
        <f>INT((O13+R13)/2)</f>
        <v>0</v>
      </c>
      <c r="V13">
        <f>INT((P13+S13)/2)</f>
        <v>0</v>
      </c>
      <c r="W13" t="str">
        <f t="shared" si="3"/>
        <v>000000</v>
      </c>
      <c r="X13" t="b">
        <f t="shared" si="4"/>
        <v>0</v>
      </c>
      <c r="Y13">
        <f t="shared" si="5"/>
        <v>0</v>
      </c>
    </row>
    <row r="14" spans="1:25" hidden="1">
      <c r="I14">
        <v>12</v>
      </c>
      <c r="J14" s="1">
        <v>2</v>
      </c>
      <c r="K14" s="1">
        <v>2</v>
      </c>
      <c r="L14" s="1">
        <v>0</v>
      </c>
      <c r="M14" s="1">
        <v>0</v>
      </c>
      <c r="N14">
        <f>INT(VLOOKUP($J14,$A$2:$G$6,2,0)*$L14/2)</f>
        <v>0</v>
      </c>
      <c r="O14">
        <f>INT(VLOOKUP($J14,$A$2:$G$6,3,0)*$L14/2)</f>
        <v>0</v>
      </c>
      <c r="P14">
        <f>INT(VLOOKUP($J14,$A$2:$G$6,4,0)*$L14/2)</f>
        <v>0</v>
      </c>
      <c r="Q14">
        <f>INT(VLOOKUP($K14,$A$2:$G$6,2,0)*$M14/2)</f>
        <v>0</v>
      </c>
      <c r="R14">
        <f>INT(VLOOKUP($K14,$A$2:$G$6,3,0)*$M14/2)</f>
        <v>0</v>
      </c>
      <c r="S14">
        <f>INT(VLOOKUP($K14,$A$2:$G$6,4,0)*$M14/2)</f>
        <v>0</v>
      </c>
      <c r="T14">
        <f>INT((N14+Q14)/2)</f>
        <v>0</v>
      </c>
      <c r="U14">
        <f>INT((O14+R14)/2)</f>
        <v>0</v>
      </c>
      <c r="V14">
        <f>INT((P14+S14)/2)</f>
        <v>0</v>
      </c>
      <c r="W14" t="str">
        <f t="shared" si="3"/>
        <v>000000</v>
      </c>
      <c r="X14" t="b">
        <f t="shared" si="4"/>
        <v>0</v>
      </c>
      <c r="Y14">
        <f t="shared" si="5"/>
        <v>0</v>
      </c>
    </row>
    <row r="15" spans="1:25" hidden="1">
      <c r="I15">
        <v>13</v>
      </c>
      <c r="J15" s="1">
        <v>3</v>
      </c>
      <c r="K15" s="1">
        <v>2</v>
      </c>
      <c r="L15" s="1">
        <v>0</v>
      </c>
      <c r="M15" s="1">
        <v>0</v>
      </c>
      <c r="N15">
        <f>INT(VLOOKUP($J15,$A$2:$G$6,2,0)*$L15/2)</f>
        <v>0</v>
      </c>
      <c r="O15">
        <f>INT(VLOOKUP($J15,$A$2:$G$6,3,0)*$L15/2)</f>
        <v>0</v>
      </c>
      <c r="P15">
        <f>INT(VLOOKUP($J15,$A$2:$G$6,4,0)*$L15/2)</f>
        <v>0</v>
      </c>
      <c r="Q15">
        <f>INT(VLOOKUP($K15,$A$2:$G$6,2,0)*$M15/2)</f>
        <v>0</v>
      </c>
      <c r="R15">
        <f>INT(VLOOKUP($K15,$A$2:$G$6,3,0)*$M15/2)</f>
        <v>0</v>
      </c>
      <c r="S15">
        <f>INT(VLOOKUP($K15,$A$2:$G$6,4,0)*$M15/2)</f>
        <v>0</v>
      </c>
      <c r="T15">
        <f>INT((N15+Q15)/2)</f>
        <v>0</v>
      </c>
      <c r="U15">
        <f>INT((O15+R15)/2)</f>
        <v>0</v>
      </c>
      <c r="V15">
        <f>INT((P15+S15)/2)</f>
        <v>0</v>
      </c>
      <c r="W15" t="str">
        <f t="shared" si="3"/>
        <v>000000</v>
      </c>
      <c r="X15" t="b">
        <f t="shared" si="4"/>
        <v>0</v>
      </c>
      <c r="Y15">
        <f t="shared" si="5"/>
        <v>0</v>
      </c>
    </row>
    <row r="16" spans="1:25" hidden="1">
      <c r="I16">
        <v>14</v>
      </c>
      <c r="J16" s="1">
        <v>4</v>
      </c>
      <c r="K16" s="1">
        <v>2</v>
      </c>
      <c r="L16" s="1">
        <v>0</v>
      </c>
      <c r="M16" s="1">
        <v>0</v>
      </c>
      <c r="N16">
        <f>INT(VLOOKUP($J16,$A$2:$G$6,2,0)*$L16/2)</f>
        <v>0</v>
      </c>
      <c r="O16">
        <f>INT(VLOOKUP($J16,$A$2:$G$6,3,0)*$L16/2)</f>
        <v>0</v>
      </c>
      <c r="P16">
        <f>INT(VLOOKUP($J16,$A$2:$G$6,4,0)*$L16/2)</f>
        <v>0</v>
      </c>
      <c r="Q16">
        <f>INT(VLOOKUP($K16,$A$2:$G$6,2,0)*$M16/2)</f>
        <v>0</v>
      </c>
      <c r="R16">
        <f>INT(VLOOKUP($K16,$A$2:$G$6,3,0)*$M16/2)</f>
        <v>0</v>
      </c>
      <c r="S16">
        <f>INT(VLOOKUP($K16,$A$2:$G$6,4,0)*$M16/2)</f>
        <v>0</v>
      </c>
      <c r="T16">
        <f>INT((N16+Q16)/2)</f>
        <v>0</v>
      </c>
      <c r="U16">
        <f>INT((O16+R16)/2)</f>
        <v>0</v>
      </c>
      <c r="V16">
        <f>INT((P16+S16)/2)</f>
        <v>0</v>
      </c>
      <c r="W16" t="str">
        <f t="shared" si="3"/>
        <v>000000</v>
      </c>
      <c r="X16" t="b">
        <f t="shared" si="4"/>
        <v>0</v>
      </c>
      <c r="Y16">
        <f t="shared" si="5"/>
        <v>0</v>
      </c>
    </row>
    <row r="17" spans="9:25" hidden="1">
      <c r="I17">
        <v>15</v>
      </c>
      <c r="J17" s="1">
        <v>0</v>
      </c>
      <c r="K17" s="1">
        <v>3</v>
      </c>
      <c r="L17" s="1">
        <v>0</v>
      </c>
      <c r="M17" s="1">
        <v>0</v>
      </c>
      <c r="N17">
        <f>INT(VLOOKUP($J17,$A$2:$G$6,2,0)*$L17/2)</f>
        <v>0</v>
      </c>
      <c r="O17">
        <f>INT(VLOOKUP($J17,$A$2:$G$6,3,0)*$L17/2)</f>
        <v>0</v>
      </c>
      <c r="P17">
        <f>INT(VLOOKUP($J17,$A$2:$G$6,4,0)*$L17/2)</f>
        <v>0</v>
      </c>
      <c r="Q17">
        <f>INT(VLOOKUP($K17,$A$2:$G$6,2,0)*$M17/2)</f>
        <v>0</v>
      </c>
      <c r="R17">
        <f>INT(VLOOKUP($K17,$A$2:$G$6,3,0)*$M17/2)</f>
        <v>0</v>
      </c>
      <c r="S17">
        <f>INT(VLOOKUP($K17,$A$2:$G$6,4,0)*$M17/2)</f>
        <v>0</v>
      </c>
      <c r="T17">
        <f>INT((N17+Q17)/2)</f>
        <v>0</v>
      </c>
      <c r="U17">
        <f>INT((O17+R17)/2)</f>
        <v>0</v>
      </c>
      <c r="V17">
        <f>INT((P17+S17)/2)</f>
        <v>0</v>
      </c>
      <c r="W17" t="str">
        <f t="shared" si="3"/>
        <v>000000</v>
      </c>
      <c r="X17" t="b">
        <f t="shared" si="4"/>
        <v>0</v>
      </c>
      <c r="Y17">
        <f t="shared" si="5"/>
        <v>0</v>
      </c>
    </row>
    <row r="18" spans="9:25" hidden="1">
      <c r="I18">
        <v>16</v>
      </c>
      <c r="J18" s="1">
        <v>1</v>
      </c>
      <c r="K18" s="1">
        <v>3</v>
      </c>
      <c r="L18" s="1">
        <v>0</v>
      </c>
      <c r="M18" s="1">
        <v>0</v>
      </c>
      <c r="N18">
        <f>INT(VLOOKUP($J18,$A$2:$G$6,2,0)*$L18/2)</f>
        <v>0</v>
      </c>
      <c r="O18">
        <f>INT(VLOOKUP($J18,$A$2:$G$6,3,0)*$L18/2)</f>
        <v>0</v>
      </c>
      <c r="P18">
        <f>INT(VLOOKUP($J18,$A$2:$G$6,4,0)*$L18/2)</f>
        <v>0</v>
      </c>
      <c r="Q18">
        <f>INT(VLOOKUP($K18,$A$2:$G$6,2,0)*$M18/2)</f>
        <v>0</v>
      </c>
      <c r="R18">
        <f>INT(VLOOKUP($K18,$A$2:$G$6,3,0)*$M18/2)</f>
        <v>0</v>
      </c>
      <c r="S18">
        <f>INT(VLOOKUP($K18,$A$2:$G$6,4,0)*$M18/2)</f>
        <v>0</v>
      </c>
      <c r="T18">
        <f>INT((N18+Q18)/2)</f>
        <v>0</v>
      </c>
      <c r="U18">
        <f>INT((O18+R18)/2)</f>
        <v>0</v>
      </c>
      <c r="V18">
        <f>INT((P18+S18)/2)</f>
        <v>0</v>
      </c>
      <c r="W18" t="str">
        <f t="shared" si="3"/>
        <v>000000</v>
      </c>
      <c r="X18" t="b">
        <f t="shared" si="4"/>
        <v>0</v>
      </c>
      <c r="Y18">
        <f t="shared" si="5"/>
        <v>0</v>
      </c>
    </row>
    <row r="19" spans="9:25" hidden="1">
      <c r="I19">
        <v>17</v>
      </c>
      <c r="J19" s="1">
        <v>2</v>
      </c>
      <c r="K19" s="1">
        <v>3</v>
      </c>
      <c r="L19" s="1">
        <v>0</v>
      </c>
      <c r="M19" s="1">
        <v>0</v>
      </c>
      <c r="N19">
        <f>INT(VLOOKUP($J19,$A$2:$G$6,2,0)*$L19/2)</f>
        <v>0</v>
      </c>
      <c r="O19">
        <f>INT(VLOOKUP($J19,$A$2:$G$6,3,0)*$L19/2)</f>
        <v>0</v>
      </c>
      <c r="P19">
        <f>INT(VLOOKUP($J19,$A$2:$G$6,4,0)*$L19/2)</f>
        <v>0</v>
      </c>
      <c r="Q19">
        <f>INT(VLOOKUP($K19,$A$2:$G$6,2,0)*$M19/2)</f>
        <v>0</v>
      </c>
      <c r="R19">
        <f>INT(VLOOKUP($K19,$A$2:$G$6,3,0)*$M19/2)</f>
        <v>0</v>
      </c>
      <c r="S19">
        <f>INT(VLOOKUP($K19,$A$2:$G$6,4,0)*$M19/2)</f>
        <v>0</v>
      </c>
      <c r="T19">
        <f>INT((N19+Q19)/2)</f>
        <v>0</v>
      </c>
      <c r="U19">
        <f>INT((O19+R19)/2)</f>
        <v>0</v>
      </c>
      <c r="V19">
        <f>INT((P19+S19)/2)</f>
        <v>0</v>
      </c>
      <c r="W19" t="str">
        <f t="shared" si="3"/>
        <v>000000</v>
      </c>
      <c r="X19" t="b">
        <f t="shared" si="4"/>
        <v>0</v>
      </c>
      <c r="Y19">
        <f t="shared" si="5"/>
        <v>0</v>
      </c>
    </row>
    <row r="20" spans="9:25" hidden="1">
      <c r="I20">
        <v>18</v>
      </c>
      <c r="J20" s="1">
        <v>3</v>
      </c>
      <c r="K20" s="1">
        <v>3</v>
      </c>
      <c r="L20" s="1">
        <v>0</v>
      </c>
      <c r="M20" s="1">
        <v>0</v>
      </c>
      <c r="N20">
        <f>INT(VLOOKUP($J20,$A$2:$G$6,2,0)*$L20/2)</f>
        <v>0</v>
      </c>
      <c r="O20">
        <f>INT(VLOOKUP($J20,$A$2:$G$6,3,0)*$L20/2)</f>
        <v>0</v>
      </c>
      <c r="P20">
        <f>INT(VLOOKUP($J20,$A$2:$G$6,4,0)*$L20/2)</f>
        <v>0</v>
      </c>
      <c r="Q20">
        <f>INT(VLOOKUP($K20,$A$2:$G$6,2,0)*$M20/2)</f>
        <v>0</v>
      </c>
      <c r="R20">
        <f>INT(VLOOKUP($K20,$A$2:$G$6,3,0)*$M20/2)</f>
        <v>0</v>
      </c>
      <c r="S20">
        <f>INT(VLOOKUP($K20,$A$2:$G$6,4,0)*$M20/2)</f>
        <v>0</v>
      </c>
      <c r="T20">
        <f>INT((N20+Q20)/2)</f>
        <v>0</v>
      </c>
      <c r="U20">
        <f>INT((O20+R20)/2)</f>
        <v>0</v>
      </c>
      <c r="V20">
        <f>INT((P20+S20)/2)</f>
        <v>0</v>
      </c>
      <c r="W20" t="str">
        <f t="shared" si="3"/>
        <v>000000</v>
      </c>
      <c r="X20" t="b">
        <f t="shared" si="4"/>
        <v>0</v>
      </c>
      <c r="Y20">
        <f t="shared" si="5"/>
        <v>0</v>
      </c>
    </row>
    <row r="21" spans="9:25" hidden="1">
      <c r="I21">
        <v>19</v>
      </c>
      <c r="J21" s="1">
        <v>4</v>
      </c>
      <c r="K21" s="1">
        <v>3</v>
      </c>
      <c r="L21" s="1">
        <v>0</v>
      </c>
      <c r="M21" s="1">
        <v>0</v>
      </c>
      <c r="N21">
        <f>INT(VLOOKUP($J21,$A$2:$G$6,2,0)*$L21/2)</f>
        <v>0</v>
      </c>
      <c r="O21">
        <f>INT(VLOOKUP($J21,$A$2:$G$6,3,0)*$L21/2)</f>
        <v>0</v>
      </c>
      <c r="P21">
        <f>INT(VLOOKUP($J21,$A$2:$G$6,4,0)*$L21/2)</f>
        <v>0</v>
      </c>
      <c r="Q21">
        <f>INT(VLOOKUP($K21,$A$2:$G$6,2,0)*$M21/2)</f>
        <v>0</v>
      </c>
      <c r="R21">
        <f>INT(VLOOKUP($K21,$A$2:$G$6,3,0)*$M21/2)</f>
        <v>0</v>
      </c>
      <c r="S21">
        <f>INT(VLOOKUP($K21,$A$2:$G$6,4,0)*$M21/2)</f>
        <v>0</v>
      </c>
      <c r="T21">
        <f>INT((N21+Q21)/2)</f>
        <v>0</v>
      </c>
      <c r="U21">
        <f>INT((O21+R21)/2)</f>
        <v>0</v>
      </c>
      <c r="V21">
        <f>INT((P21+S21)/2)</f>
        <v>0</v>
      </c>
      <c r="W21" t="str">
        <f t="shared" si="3"/>
        <v>000000</v>
      </c>
      <c r="X21" t="b">
        <f t="shared" si="4"/>
        <v>0</v>
      </c>
      <c r="Y21">
        <f t="shared" si="5"/>
        <v>0</v>
      </c>
    </row>
    <row r="22" spans="9:25" hidden="1">
      <c r="I22">
        <v>20</v>
      </c>
      <c r="J22" s="1">
        <v>0</v>
      </c>
      <c r="K22" s="1">
        <v>4</v>
      </c>
      <c r="L22" s="1">
        <v>0</v>
      </c>
      <c r="M22" s="1">
        <v>0</v>
      </c>
      <c r="N22">
        <f>INT(VLOOKUP($J22,$A$2:$G$6,2,0)*$L22/2)</f>
        <v>0</v>
      </c>
      <c r="O22">
        <f>INT(VLOOKUP($J22,$A$2:$G$6,3,0)*$L22/2)</f>
        <v>0</v>
      </c>
      <c r="P22">
        <f>INT(VLOOKUP($J22,$A$2:$G$6,4,0)*$L22/2)</f>
        <v>0</v>
      </c>
      <c r="Q22">
        <f>INT(VLOOKUP($K22,$A$2:$G$6,2,0)*$M22/2)</f>
        <v>0</v>
      </c>
      <c r="R22">
        <f>INT(VLOOKUP($K22,$A$2:$G$6,3,0)*$M22/2)</f>
        <v>0</v>
      </c>
      <c r="S22">
        <f>INT(VLOOKUP($K22,$A$2:$G$6,4,0)*$M22/2)</f>
        <v>0</v>
      </c>
      <c r="T22">
        <f>INT((N22+Q22)/2)</f>
        <v>0</v>
      </c>
      <c r="U22">
        <f>INT((O22+R22)/2)</f>
        <v>0</v>
      </c>
      <c r="V22">
        <f>INT((P22+S22)/2)</f>
        <v>0</v>
      </c>
      <c r="W22" t="str">
        <f t="shared" si="3"/>
        <v>000000</v>
      </c>
      <c r="X22" t="b">
        <f t="shared" si="4"/>
        <v>0</v>
      </c>
      <c r="Y22">
        <f t="shared" si="5"/>
        <v>0</v>
      </c>
    </row>
    <row r="23" spans="9:25" hidden="1">
      <c r="I23">
        <v>21</v>
      </c>
      <c r="J23" s="1">
        <v>1</v>
      </c>
      <c r="K23" s="1">
        <v>4</v>
      </c>
      <c r="L23" s="1">
        <v>0</v>
      </c>
      <c r="M23" s="1">
        <v>0</v>
      </c>
      <c r="N23">
        <f>INT(VLOOKUP($J23,$A$2:$G$6,2,0)*$L23/2)</f>
        <v>0</v>
      </c>
      <c r="O23">
        <f>INT(VLOOKUP($J23,$A$2:$G$6,3,0)*$L23/2)</f>
        <v>0</v>
      </c>
      <c r="P23">
        <f>INT(VLOOKUP($J23,$A$2:$G$6,4,0)*$L23/2)</f>
        <v>0</v>
      </c>
      <c r="Q23">
        <f>INT(VLOOKUP($K23,$A$2:$G$6,2,0)*$M23/2)</f>
        <v>0</v>
      </c>
      <c r="R23">
        <f>INT(VLOOKUP($K23,$A$2:$G$6,3,0)*$M23/2)</f>
        <v>0</v>
      </c>
      <c r="S23">
        <f>INT(VLOOKUP($K23,$A$2:$G$6,4,0)*$M23/2)</f>
        <v>0</v>
      </c>
      <c r="T23">
        <f>INT((N23+Q23)/2)</f>
        <v>0</v>
      </c>
      <c r="U23">
        <f>INT((O23+R23)/2)</f>
        <v>0</v>
      </c>
      <c r="V23">
        <f>INT((P23+S23)/2)</f>
        <v>0</v>
      </c>
      <c r="W23" t="str">
        <f t="shared" si="3"/>
        <v>000000</v>
      </c>
      <c r="X23" t="b">
        <f t="shared" si="4"/>
        <v>0</v>
      </c>
      <c r="Y23">
        <f t="shared" si="5"/>
        <v>0</v>
      </c>
    </row>
    <row r="24" spans="9:25" hidden="1">
      <c r="I24">
        <v>22</v>
      </c>
      <c r="J24" s="1">
        <v>2</v>
      </c>
      <c r="K24" s="1">
        <v>4</v>
      </c>
      <c r="L24" s="1">
        <v>0</v>
      </c>
      <c r="M24" s="1">
        <v>0</v>
      </c>
      <c r="N24">
        <f>INT(VLOOKUP($J24,$A$2:$G$6,2,0)*$L24/2)</f>
        <v>0</v>
      </c>
      <c r="O24">
        <f>INT(VLOOKUP($J24,$A$2:$G$6,3,0)*$L24/2)</f>
        <v>0</v>
      </c>
      <c r="P24">
        <f>INT(VLOOKUP($J24,$A$2:$G$6,4,0)*$L24/2)</f>
        <v>0</v>
      </c>
      <c r="Q24">
        <f>INT(VLOOKUP($K24,$A$2:$G$6,2,0)*$M24/2)</f>
        <v>0</v>
      </c>
      <c r="R24">
        <f>INT(VLOOKUP($K24,$A$2:$G$6,3,0)*$M24/2)</f>
        <v>0</v>
      </c>
      <c r="S24">
        <f>INT(VLOOKUP($K24,$A$2:$G$6,4,0)*$M24/2)</f>
        <v>0</v>
      </c>
      <c r="T24">
        <f>INT((N24+Q24)/2)</f>
        <v>0</v>
      </c>
      <c r="U24">
        <f>INT((O24+R24)/2)</f>
        <v>0</v>
      </c>
      <c r="V24">
        <f>INT((P24+S24)/2)</f>
        <v>0</v>
      </c>
      <c r="W24" t="str">
        <f t="shared" si="3"/>
        <v>000000</v>
      </c>
      <c r="X24" t="b">
        <f t="shared" si="4"/>
        <v>0</v>
      </c>
      <c r="Y24">
        <f t="shared" si="5"/>
        <v>0</v>
      </c>
    </row>
    <row r="25" spans="9:25" hidden="1">
      <c r="I25">
        <v>23</v>
      </c>
      <c r="J25" s="1">
        <v>3</v>
      </c>
      <c r="K25" s="1">
        <v>4</v>
      </c>
      <c r="L25" s="1">
        <v>0</v>
      </c>
      <c r="M25" s="1">
        <v>0</v>
      </c>
      <c r="N25">
        <f>INT(VLOOKUP($J25,$A$2:$G$6,2,0)*$L25/2)</f>
        <v>0</v>
      </c>
      <c r="O25">
        <f>INT(VLOOKUP($J25,$A$2:$G$6,3,0)*$L25/2)</f>
        <v>0</v>
      </c>
      <c r="P25">
        <f>INT(VLOOKUP($J25,$A$2:$G$6,4,0)*$L25/2)</f>
        <v>0</v>
      </c>
      <c r="Q25">
        <f>INT(VLOOKUP($K25,$A$2:$G$6,2,0)*$M25/2)</f>
        <v>0</v>
      </c>
      <c r="R25">
        <f>INT(VLOOKUP($K25,$A$2:$G$6,3,0)*$M25/2)</f>
        <v>0</v>
      </c>
      <c r="S25">
        <f>INT(VLOOKUP($K25,$A$2:$G$6,4,0)*$M25/2)</f>
        <v>0</v>
      </c>
      <c r="T25">
        <f>INT((N25+Q25)/2)</f>
        <v>0</v>
      </c>
      <c r="U25">
        <f>INT((O25+R25)/2)</f>
        <v>0</v>
      </c>
      <c r="V25">
        <f>INT((P25+S25)/2)</f>
        <v>0</v>
      </c>
      <c r="W25" t="str">
        <f t="shared" si="3"/>
        <v>000000</v>
      </c>
      <c r="X25" t="b">
        <f t="shared" si="4"/>
        <v>0</v>
      </c>
      <c r="Y25">
        <f t="shared" si="5"/>
        <v>0</v>
      </c>
    </row>
    <row r="26" spans="9:25" hidden="1">
      <c r="I26">
        <v>24</v>
      </c>
      <c r="J26" s="1">
        <v>4</v>
      </c>
      <c r="K26" s="1">
        <v>4</v>
      </c>
      <c r="L26" s="1">
        <v>0</v>
      </c>
      <c r="M26" s="1">
        <v>0</v>
      </c>
      <c r="N26">
        <f>INT(VLOOKUP($J26,$A$2:$G$6,2,0)*$L26/2)</f>
        <v>0</v>
      </c>
      <c r="O26">
        <f>INT(VLOOKUP($J26,$A$2:$G$6,3,0)*$L26/2)</f>
        <v>0</v>
      </c>
      <c r="P26">
        <f>INT(VLOOKUP($J26,$A$2:$G$6,4,0)*$L26/2)</f>
        <v>0</v>
      </c>
      <c r="Q26">
        <f>INT(VLOOKUP($K26,$A$2:$G$6,2,0)*$M26/2)</f>
        <v>0</v>
      </c>
      <c r="R26">
        <f>INT(VLOOKUP($K26,$A$2:$G$6,3,0)*$M26/2)</f>
        <v>0</v>
      </c>
      <c r="S26">
        <f>INT(VLOOKUP($K26,$A$2:$G$6,4,0)*$M26/2)</f>
        <v>0</v>
      </c>
      <c r="T26">
        <f>INT((N26+Q26)/2)</f>
        <v>0</v>
      </c>
      <c r="U26">
        <f>INT((O26+R26)/2)</f>
        <v>0</v>
      </c>
      <c r="V26">
        <f>INT((P26+S26)/2)</f>
        <v>0</v>
      </c>
      <c r="W26" t="str">
        <f t="shared" si="3"/>
        <v>000000</v>
      </c>
      <c r="X26" t="b">
        <f t="shared" si="4"/>
        <v>0</v>
      </c>
      <c r="Y26">
        <f t="shared" si="5"/>
        <v>0</v>
      </c>
    </row>
    <row r="27" spans="9:25" hidden="1">
      <c r="I27">
        <v>25</v>
      </c>
      <c r="J27" s="1">
        <v>0</v>
      </c>
      <c r="K27" s="1">
        <v>0</v>
      </c>
      <c r="L27" s="1">
        <v>1</v>
      </c>
      <c r="M27" s="1">
        <v>0</v>
      </c>
      <c r="N27">
        <f>INT(VLOOKUP($J27,$A$2:$G$6,2,0)*$L27/2)</f>
        <v>0</v>
      </c>
      <c r="O27">
        <f>INT(VLOOKUP($J27,$A$2:$G$6,3,0)*$L27/2)</f>
        <v>0</v>
      </c>
      <c r="P27">
        <f>INT(VLOOKUP($J27,$A$2:$G$6,4,0)*$L27/2)</f>
        <v>0</v>
      </c>
      <c r="Q27">
        <f>INT(VLOOKUP($K27,$A$2:$G$6,2,0)*$M27/2)</f>
        <v>0</v>
      </c>
      <c r="R27">
        <f>INT(VLOOKUP($K27,$A$2:$G$6,3,0)*$M27/2)</f>
        <v>0</v>
      </c>
      <c r="S27">
        <f>INT(VLOOKUP($K27,$A$2:$G$6,4,0)*$M27/2)</f>
        <v>0</v>
      </c>
      <c r="T27">
        <f>INT((N27+Q27)/2)</f>
        <v>0</v>
      </c>
      <c r="U27">
        <f>INT((O27+R27)/2)</f>
        <v>0</v>
      </c>
      <c r="V27">
        <f>INT((P27+S27)/2)</f>
        <v>0</v>
      </c>
      <c r="W27" t="str">
        <f t="shared" si="3"/>
        <v>000000</v>
      </c>
      <c r="X27" t="b">
        <f t="shared" si="4"/>
        <v>0</v>
      </c>
      <c r="Y27">
        <f t="shared" si="5"/>
        <v>0</v>
      </c>
    </row>
    <row r="28" spans="9:25" hidden="1">
      <c r="I28">
        <v>30</v>
      </c>
      <c r="J28" s="1">
        <v>0</v>
      </c>
      <c r="K28" s="1">
        <v>1</v>
      </c>
      <c r="L28" s="1">
        <v>1</v>
      </c>
      <c r="M28" s="1">
        <v>0</v>
      </c>
      <c r="N28">
        <f>INT(VLOOKUP($J28,$A$2:$G$6,2,0)*$L28/2)</f>
        <v>0</v>
      </c>
      <c r="O28">
        <f>INT(VLOOKUP($J28,$A$2:$G$6,3,0)*$L28/2)</f>
        <v>0</v>
      </c>
      <c r="P28">
        <f>INT(VLOOKUP($J28,$A$2:$G$6,4,0)*$L28/2)</f>
        <v>0</v>
      </c>
      <c r="Q28">
        <f>INT(VLOOKUP($K28,$A$2:$G$6,2,0)*$M28/2)</f>
        <v>0</v>
      </c>
      <c r="R28">
        <f>INT(VLOOKUP($K28,$A$2:$G$6,3,0)*$M28/2)</f>
        <v>0</v>
      </c>
      <c r="S28">
        <f>INT(VLOOKUP($K28,$A$2:$G$6,4,0)*$M28/2)</f>
        <v>0</v>
      </c>
      <c r="T28">
        <f>INT((N28+Q28)/2)</f>
        <v>0</v>
      </c>
      <c r="U28">
        <f>INT((O28+R28)/2)</f>
        <v>0</v>
      </c>
      <c r="V28">
        <f>INT((P28+S28)/2)</f>
        <v>0</v>
      </c>
      <c r="W28" t="str">
        <f t="shared" si="3"/>
        <v>000000</v>
      </c>
      <c r="X28" t="b">
        <f t="shared" si="4"/>
        <v>0</v>
      </c>
      <c r="Y28">
        <f t="shared" si="5"/>
        <v>0</v>
      </c>
    </row>
    <row r="29" spans="9:25" hidden="1">
      <c r="I29">
        <v>35</v>
      </c>
      <c r="J29" s="1">
        <v>0</v>
      </c>
      <c r="K29" s="1">
        <v>2</v>
      </c>
      <c r="L29" s="1">
        <v>1</v>
      </c>
      <c r="M29" s="1">
        <v>0</v>
      </c>
      <c r="N29">
        <f>INT(VLOOKUP($J29,$A$2:$G$6,2,0)*$L29/2)</f>
        <v>0</v>
      </c>
      <c r="O29">
        <f>INT(VLOOKUP($J29,$A$2:$G$6,3,0)*$L29/2)</f>
        <v>0</v>
      </c>
      <c r="P29">
        <f>INT(VLOOKUP($J29,$A$2:$G$6,4,0)*$L29/2)</f>
        <v>0</v>
      </c>
      <c r="Q29">
        <f>INT(VLOOKUP($K29,$A$2:$G$6,2,0)*$M29/2)</f>
        <v>0</v>
      </c>
      <c r="R29">
        <f>INT(VLOOKUP($K29,$A$2:$G$6,3,0)*$M29/2)</f>
        <v>0</v>
      </c>
      <c r="S29">
        <f>INT(VLOOKUP($K29,$A$2:$G$6,4,0)*$M29/2)</f>
        <v>0</v>
      </c>
      <c r="T29">
        <f>INT((N29+Q29)/2)</f>
        <v>0</v>
      </c>
      <c r="U29">
        <f>INT((O29+R29)/2)</f>
        <v>0</v>
      </c>
      <c r="V29">
        <f>INT((P29+S29)/2)</f>
        <v>0</v>
      </c>
      <c r="W29" t="str">
        <f t="shared" si="3"/>
        <v>000000</v>
      </c>
      <c r="X29" t="b">
        <f t="shared" si="4"/>
        <v>0</v>
      </c>
      <c r="Y29">
        <f t="shared" si="5"/>
        <v>0</v>
      </c>
    </row>
    <row r="30" spans="9:25" hidden="1">
      <c r="I30">
        <v>40</v>
      </c>
      <c r="J30" s="1">
        <v>0</v>
      </c>
      <c r="K30" s="1">
        <v>3</v>
      </c>
      <c r="L30" s="1">
        <v>1</v>
      </c>
      <c r="M30" s="1">
        <v>0</v>
      </c>
      <c r="N30">
        <f>INT(VLOOKUP($J30,$A$2:$G$6,2,0)*$L30/2)</f>
        <v>0</v>
      </c>
      <c r="O30">
        <f>INT(VLOOKUP($J30,$A$2:$G$6,3,0)*$L30/2)</f>
        <v>0</v>
      </c>
      <c r="P30">
        <f>INT(VLOOKUP($J30,$A$2:$G$6,4,0)*$L30/2)</f>
        <v>0</v>
      </c>
      <c r="Q30">
        <f>INT(VLOOKUP($K30,$A$2:$G$6,2,0)*$M30/2)</f>
        <v>0</v>
      </c>
      <c r="R30">
        <f>INT(VLOOKUP($K30,$A$2:$G$6,3,0)*$M30/2)</f>
        <v>0</v>
      </c>
      <c r="S30">
        <f>INT(VLOOKUP($K30,$A$2:$G$6,4,0)*$M30/2)</f>
        <v>0</v>
      </c>
      <c r="T30">
        <f>INT((N30+Q30)/2)</f>
        <v>0</v>
      </c>
      <c r="U30">
        <f>INT((O30+R30)/2)</f>
        <v>0</v>
      </c>
      <c r="V30">
        <f>INT((P30+S30)/2)</f>
        <v>0</v>
      </c>
      <c r="W30" t="str">
        <f t="shared" si="3"/>
        <v>000000</v>
      </c>
      <c r="X30" t="b">
        <f t="shared" si="4"/>
        <v>0</v>
      </c>
      <c r="Y30">
        <f t="shared" si="5"/>
        <v>0</v>
      </c>
    </row>
    <row r="31" spans="9:25" hidden="1">
      <c r="I31">
        <v>45</v>
      </c>
      <c r="J31" s="1">
        <v>0</v>
      </c>
      <c r="K31" s="1">
        <v>4</v>
      </c>
      <c r="L31" s="1">
        <v>1</v>
      </c>
      <c r="M31" s="1">
        <v>0</v>
      </c>
      <c r="N31">
        <f>INT(VLOOKUP($J31,$A$2:$G$6,2,0)*$L31/2)</f>
        <v>0</v>
      </c>
      <c r="O31">
        <f>INT(VLOOKUP($J31,$A$2:$G$6,3,0)*$L31/2)</f>
        <v>0</v>
      </c>
      <c r="P31">
        <f>INT(VLOOKUP($J31,$A$2:$G$6,4,0)*$L31/2)</f>
        <v>0</v>
      </c>
      <c r="Q31">
        <f>INT(VLOOKUP($K31,$A$2:$G$6,2,0)*$M31/2)</f>
        <v>0</v>
      </c>
      <c r="R31">
        <f>INT(VLOOKUP($K31,$A$2:$G$6,3,0)*$M31/2)</f>
        <v>0</v>
      </c>
      <c r="S31">
        <f>INT(VLOOKUP($K31,$A$2:$G$6,4,0)*$M31/2)</f>
        <v>0</v>
      </c>
      <c r="T31">
        <f>INT((N31+Q31)/2)</f>
        <v>0</v>
      </c>
      <c r="U31">
        <f>INT((O31+R31)/2)</f>
        <v>0</v>
      </c>
      <c r="V31">
        <f>INT((P31+S31)/2)</f>
        <v>0</v>
      </c>
      <c r="W31" t="str">
        <f t="shared" si="3"/>
        <v>000000</v>
      </c>
      <c r="X31" t="b">
        <f t="shared" si="4"/>
        <v>0</v>
      </c>
      <c r="Y31">
        <f t="shared" si="5"/>
        <v>0</v>
      </c>
    </row>
    <row r="32" spans="9:25" hidden="1">
      <c r="I32">
        <v>50</v>
      </c>
      <c r="J32" s="1">
        <v>0</v>
      </c>
      <c r="K32" s="1">
        <v>0</v>
      </c>
      <c r="L32" s="1">
        <v>2</v>
      </c>
      <c r="M32" s="1">
        <v>0</v>
      </c>
      <c r="N32">
        <f>INT(VLOOKUP($J32,$A$2:$G$6,2,0)*$L32/2)</f>
        <v>0</v>
      </c>
      <c r="O32">
        <f>INT(VLOOKUP($J32,$A$2:$G$6,3,0)*$L32/2)</f>
        <v>0</v>
      </c>
      <c r="P32">
        <f>INT(VLOOKUP($J32,$A$2:$G$6,4,0)*$L32/2)</f>
        <v>0</v>
      </c>
      <c r="Q32">
        <f>INT(VLOOKUP($K32,$A$2:$G$6,2,0)*$M32/2)</f>
        <v>0</v>
      </c>
      <c r="R32">
        <f>INT(VLOOKUP($K32,$A$2:$G$6,3,0)*$M32/2)</f>
        <v>0</v>
      </c>
      <c r="S32">
        <f>INT(VLOOKUP($K32,$A$2:$G$6,4,0)*$M32/2)</f>
        <v>0</v>
      </c>
      <c r="T32">
        <f>INT((N32+Q32)/2)</f>
        <v>0</v>
      </c>
      <c r="U32">
        <f>INT((O32+R32)/2)</f>
        <v>0</v>
      </c>
      <c r="V32">
        <f>INT((P32+S32)/2)</f>
        <v>0</v>
      </c>
      <c r="W32" t="str">
        <f t="shared" si="3"/>
        <v>000000</v>
      </c>
      <c r="X32" t="b">
        <f t="shared" si="4"/>
        <v>0</v>
      </c>
      <c r="Y32">
        <f t="shared" si="5"/>
        <v>0</v>
      </c>
    </row>
    <row r="33" spans="9:25" hidden="1">
      <c r="I33">
        <v>55</v>
      </c>
      <c r="J33" s="1">
        <v>0</v>
      </c>
      <c r="K33" s="1">
        <v>1</v>
      </c>
      <c r="L33" s="1">
        <v>2</v>
      </c>
      <c r="M33" s="1">
        <v>0</v>
      </c>
      <c r="N33">
        <f>INT(VLOOKUP($J33,$A$2:$G$6,2,0)*$L33/2)</f>
        <v>0</v>
      </c>
      <c r="O33">
        <f>INT(VLOOKUP($J33,$A$2:$G$6,3,0)*$L33/2)</f>
        <v>0</v>
      </c>
      <c r="P33">
        <f>INT(VLOOKUP($J33,$A$2:$G$6,4,0)*$L33/2)</f>
        <v>0</v>
      </c>
      <c r="Q33">
        <f>INT(VLOOKUP($K33,$A$2:$G$6,2,0)*$M33/2)</f>
        <v>0</v>
      </c>
      <c r="R33">
        <f>INT(VLOOKUP($K33,$A$2:$G$6,3,0)*$M33/2)</f>
        <v>0</v>
      </c>
      <c r="S33">
        <f>INT(VLOOKUP($K33,$A$2:$G$6,4,0)*$M33/2)</f>
        <v>0</v>
      </c>
      <c r="T33">
        <f>INT((N33+Q33)/2)</f>
        <v>0</v>
      </c>
      <c r="U33">
        <f>INT((O33+R33)/2)</f>
        <v>0</v>
      </c>
      <c r="V33">
        <f>INT((P33+S33)/2)</f>
        <v>0</v>
      </c>
      <c r="W33" t="str">
        <f t="shared" si="3"/>
        <v>000000</v>
      </c>
      <c r="X33" t="b">
        <f t="shared" si="4"/>
        <v>0</v>
      </c>
      <c r="Y33">
        <f t="shared" si="5"/>
        <v>0</v>
      </c>
    </row>
    <row r="34" spans="9:25" hidden="1">
      <c r="I34">
        <v>60</v>
      </c>
      <c r="J34" s="1">
        <v>0</v>
      </c>
      <c r="K34" s="1">
        <v>2</v>
      </c>
      <c r="L34" s="1">
        <v>2</v>
      </c>
      <c r="M34" s="1">
        <v>0</v>
      </c>
      <c r="N34">
        <f>INT(VLOOKUP($J34,$A$2:$G$6,2,0)*$L34/2)</f>
        <v>0</v>
      </c>
      <c r="O34">
        <f>INT(VLOOKUP($J34,$A$2:$G$6,3,0)*$L34/2)</f>
        <v>0</v>
      </c>
      <c r="P34">
        <f>INT(VLOOKUP($J34,$A$2:$G$6,4,0)*$L34/2)</f>
        <v>0</v>
      </c>
      <c r="Q34">
        <f>INT(VLOOKUP($K34,$A$2:$G$6,2,0)*$M34/2)</f>
        <v>0</v>
      </c>
      <c r="R34">
        <f>INT(VLOOKUP($K34,$A$2:$G$6,3,0)*$M34/2)</f>
        <v>0</v>
      </c>
      <c r="S34">
        <f>INT(VLOOKUP($K34,$A$2:$G$6,4,0)*$M34/2)</f>
        <v>0</v>
      </c>
      <c r="T34">
        <f>INT((N34+Q34)/2)</f>
        <v>0</v>
      </c>
      <c r="U34">
        <f>INT((O34+R34)/2)</f>
        <v>0</v>
      </c>
      <c r="V34">
        <f>INT((P34+S34)/2)</f>
        <v>0</v>
      </c>
      <c r="W34" t="str">
        <f t="shared" si="3"/>
        <v>000000</v>
      </c>
      <c r="X34" t="b">
        <f t="shared" si="4"/>
        <v>0</v>
      </c>
      <c r="Y34">
        <f t="shared" si="5"/>
        <v>0</v>
      </c>
    </row>
    <row r="35" spans="9:25" hidden="1">
      <c r="I35">
        <v>65</v>
      </c>
      <c r="J35" s="1">
        <v>0</v>
      </c>
      <c r="K35" s="1">
        <v>3</v>
      </c>
      <c r="L35" s="1">
        <v>2</v>
      </c>
      <c r="M35" s="1">
        <v>0</v>
      </c>
      <c r="N35">
        <f>INT(VLOOKUP($J35,$A$2:$G$6,2,0)*$L35/2)</f>
        <v>0</v>
      </c>
      <c r="O35">
        <f>INT(VLOOKUP($J35,$A$2:$G$6,3,0)*$L35/2)</f>
        <v>0</v>
      </c>
      <c r="P35">
        <f>INT(VLOOKUP($J35,$A$2:$G$6,4,0)*$L35/2)</f>
        <v>0</v>
      </c>
      <c r="Q35">
        <f>INT(VLOOKUP($K35,$A$2:$G$6,2,0)*$M35/2)</f>
        <v>0</v>
      </c>
      <c r="R35">
        <f>INT(VLOOKUP($K35,$A$2:$G$6,3,0)*$M35/2)</f>
        <v>0</v>
      </c>
      <c r="S35">
        <f>INT(VLOOKUP($K35,$A$2:$G$6,4,0)*$M35/2)</f>
        <v>0</v>
      </c>
      <c r="T35">
        <f>INT((N35+Q35)/2)</f>
        <v>0</v>
      </c>
      <c r="U35">
        <f>INT((O35+R35)/2)</f>
        <v>0</v>
      </c>
      <c r="V35">
        <f>INT((P35+S35)/2)</f>
        <v>0</v>
      </c>
      <c r="W35" t="str">
        <f t="shared" si="3"/>
        <v>000000</v>
      </c>
      <c r="X35" t="b">
        <f t="shared" si="4"/>
        <v>0</v>
      </c>
      <c r="Y35">
        <f t="shared" si="5"/>
        <v>0</v>
      </c>
    </row>
    <row r="36" spans="9:25" hidden="1">
      <c r="I36">
        <v>70</v>
      </c>
      <c r="J36" s="1">
        <v>0</v>
      </c>
      <c r="K36" s="1">
        <v>4</v>
      </c>
      <c r="L36" s="1">
        <v>2</v>
      </c>
      <c r="M36" s="1">
        <v>0</v>
      </c>
      <c r="N36">
        <f>INT(VLOOKUP($J36,$A$2:$G$6,2,0)*$L36/2)</f>
        <v>0</v>
      </c>
      <c r="O36">
        <f>INT(VLOOKUP($J36,$A$2:$G$6,3,0)*$L36/2)</f>
        <v>0</v>
      </c>
      <c r="P36">
        <f>INT(VLOOKUP($J36,$A$2:$G$6,4,0)*$L36/2)</f>
        <v>0</v>
      </c>
      <c r="Q36">
        <f>INT(VLOOKUP($K36,$A$2:$G$6,2,0)*$M36/2)</f>
        <v>0</v>
      </c>
      <c r="R36">
        <f>INT(VLOOKUP($K36,$A$2:$G$6,3,0)*$M36/2)</f>
        <v>0</v>
      </c>
      <c r="S36">
        <f>INT(VLOOKUP($K36,$A$2:$G$6,4,0)*$M36/2)</f>
        <v>0</v>
      </c>
      <c r="T36">
        <f>INT((N36+Q36)/2)</f>
        <v>0</v>
      </c>
      <c r="U36">
        <f>INT((O36+R36)/2)</f>
        <v>0</v>
      </c>
      <c r="V36">
        <f>INT((P36+S36)/2)</f>
        <v>0</v>
      </c>
      <c r="W36" t="str">
        <f t="shared" si="3"/>
        <v>000000</v>
      </c>
      <c r="X36" t="b">
        <f t="shared" si="4"/>
        <v>0</v>
      </c>
      <c r="Y36">
        <f t="shared" si="5"/>
        <v>0</v>
      </c>
    </row>
    <row r="37" spans="9:25" hidden="1">
      <c r="I37">
        <v>75</v>
      </c>
      <c r="J37" s="1">
        <v>0</v>
      </c>
      <c r="K37" s="1">
        <v>0</v>
      </c>
      <c r="L37" s="1">
        <v>0</v>
      </c>
      <c r="M37" s="1">
        <v>1</v>
      </c>
      <c r="N37">
        <f>INT(VLOOKUP($J37,$A$2:$G$6,2,0)*$L37/2)</f>
        <v>0</v>
      </c>
      <c r="O37">
        <f>INT(VLOOKUP($J37,$A$2:$G$6,3,0)*$L37/2)</f>
        <v>0</v>
      </c>
      <c r="P37">
        <f>INT(VLOOKUP($J37,$A$2:$G$6,4,0)*$L37/2)</f>
        <v>0</v>
      </c>
      <c r="Q37">
        <f>INT(VLOOKUP($K37,$A$2:$G$6,2,0)*$M37/2)</f>
        <v>0</v>
      </c>
      <c r="R37">
        <f>INT(VLOOKUP($K37,$A$2:$G$6,3,0)*$M37/2)</f>
        <v>0</v>
      </c>
      <c r="S37">
        <f>INT(VLOOKUP($K37,$A$2:$G$6,4,0)*$M37/2)</f>
        <v>0</v>
      </c>
      <c r="T37">
        <f>INT((N37+Q37)/2)</f>
        <v>0</v>
      </c>
      <c r="U37">
        <f>INT((O37+R37)/2)</f>
        <v>0</v>
      </c>
      <c r="V37">
        <f>INT((P37+S37)/2)</f>
        <v>0</v>
      </c>
      <c r="W37" t="str">
        <f t="shared" si="3"/>
        <v>000000</v>
      </c>
      <c r="X37" t="b">
        <f t="shared" si="4"/>
        <v>0</v>
      </c>
      <c r="Y37">
        <f t="shared" si="5"/>
        <v>0</v>
      </c>
    </row>
    <row r="38" spans="9:25" hidden="1">
      <c r="I38">
        <v>76</v>
      </c>
      <c r="J38" s="1">
        <v>1</v>
      </c>
      <c r="K38" s="1">
        <v>0</v>
      </c>
      <c r="L38" s="1">
        <v>0</v>
      </c>
      <c r="M38" s="1">
        <v>1</v>
      </c>
      <c r="N38">
        <f>INT(VLOOKUP($J38,$A$2:$G$6,2,0)*$L38/2)</f>
        <v>0</v>
      </c>
      <c r="O38">
        <f>INT(VLOOKUP($J38,$A$2:$G$6,3,0)*$L38/2)</f>
        <v>0</v>
      </c>
      <c r="P38">
        <f>INT(VLOOKUP($J38,$A$2:$G$6,4,0)*$L38/2)</f>
        <v>0</v>
      </c>
      <c r="Q38">
        <f>INT(VLOOKUP($K38,$A$2:$G$6,2,0)*$M38/2)</f>
        <v>0</v>
      </c>
      <c r="R38">
        <f>INT(VLOOKUP($K38,$A$2:$G$6,3,0)*$M38/2)</f>
        <v>0</v>
      </c>
      <c r="S38">
        <f>INT(VLOOKUP($K38,$A$2:$G$6,4,0)*$M38/2)</f>
        <v>0</v>
      </c>
      <c r="T38">
        <f>INT((N38+Q38)/2)</f>
        <v>0</v>
      </c>
      <c r="U38">
        <f>INT((O38+R38)/2)</f>
        <v>0</v>
      </c>
      <c r="V38">
        <f>INT((P38+S38)/2)</f>
        <v>0</v>
      </c>
      <c r="W38" t="str">
        <f t="shared" si="3"/>
        <v>000000</v>
      </c>
      <c r="X38" t="b">
        <f t="shared" si="4"/>
        <v>0</v>
      </c>
      <c r="Y38">
        <f t="shared" si="5"/>
        <v>0</v>
      </c>
    </row>
    <row r="39" spans="9:25" hidden="1">
      <c r="I39">
        <v>77</v>
      </c>
      <c r="J39" s="1">
        <v>2</v>
      </c>
      <c r="K39" s="1">
        <v>0</v>
      </c>
      <c r="L39" s="1">
        <v>0</v>
      </c>
      <c r="M39" s="1">
        <v>1</v>
      </c>
      <c r="N39">
        <f>INT(VLOOKUP($J39,$A$2:$G$6,2,0)*$L39/2)</f>
        <v>0</v>
      </c>
      <c r="O39">
        <f>INT(VLOOKUP($J39,$A$2:$G$6,3,0)*$L39/2)</f>
        <v>0</v>
      </c>
      <c r="P39">
        <f>INT(VLOOKUP($J39,$A$2:$G$6,4,0)*$L39/2)</f>
        <v>0</v>
      </c>
      <c r="Q39">
        <f>INT(VLOOKUP($K39,$A$2:$G$6,2,0)*$M39/2)</f>
        <v>0</v>
      </c>
      <c r="R39">
        <f>INT(VLOOKUP($K39,$A$2:$G$6,3,0)*$M39/2)</f>
        <v>0</v>
      </c>
      <c r="S39">
        <f>INT(VLOOKUP($K39,$A$2:$G$6,4,0)*$M39/2)</f>
        <v>0</v>
      </c>
      <c r="T39">
        <f>INT((N39+Q39)/2)</f>
        <v>0</v>
      </c>
      <c r="U39">
        <f>INT((O39+R39)/2)</f>
        <v>0</v>
      </c>
      <c r="V39">
        <f>INT((P39+S39)/2)</f>
        <v>0</v>
      </c>
      <c r="W39" t="str">
        <f t="shared" si="3"/>
        <v>000000</v>
      </c>
      <c r="X39" t="b">
        <f t="shared" si="4"/>
        <v>0</v>
      </c>
      <c r="Y39">
        <f t="shared" si="5"/>
        <v>0</v>
      </c>
    </row>
    <row r="40" spans="9:25" hidden="1">
      <c r="I40">
        <v>78</v>
      </c>
      <c r="J40" s="1">
        <v>3</v>
      </c>
      <c r="K40" s="1">
        <v>0</v>
      </c>
      <c r="L40" s="1">
        <v>0</v>
      </c>
      <c r="M40" s="1">
        <v>1</v>
      </c>
      <c r="N40">
        <f>INT(VLOOKUP($J40,$A$2:$G$6,2,0)*$L40/2)</f>
        <v>0</v>
      </c>
      <c r="O40">
        <f>INT(VLOOKUP($J40,$A$2:$G$6,3,0)*$L40/2)</f>
        <v>0</v>
      </c>
      <c r="P40">
        <f>INT(VLOOKUP($J40,$A$2:$G$6,4,0)*$L40/2)</f>
        <v>0</v>
      </c>
      <c r="Q40">
        <f>INT(VLOOKUP($K40,$A$2:$G$6,2,0)*$M40/2)</f>
        <v>0</v>
      </c>
      <c r="R40">
        <f>INT(VLOOKUP($K40,$A$2:$G$6,3,0)*$M40/2)</f>
        <v>0</v>
      </c>
      <c r="S40">
        <f>INT(VLOOKUP($K40,$A$2:$G$6,4,0)*$M40/2)</f>
        <v>0</v>
      </c>
      <c r="T40">
        <f>INT((N40+Q40)/2)</f>
        <v>0</v>
      </c>
      <c r="U40">
        <f>INT((O40+R40)/2)</f>
        <v>0</v>
      </c>
      <c r="V40">
        <f>INT((P40+S40)/2)</f>
        <v>0</v>
      </c>
      <c r="W40" t="str">
        <f t="shared" si="3"/>
        <v>000000</v>
      </c>
      <c r="X40" t="b">
        <f t="shared" si="4"/>
        <v>0</v>
      </c>
      <c r="Y40">
        <f t="shared" si="5"/>
        <v>0</v>
      </c>
    </row>
    <row r="41" spans="9:25" hidden="1">
      <c r="I41">
        <v>79</v>
      </c>
      <c r="J41" s="1">
        <v>4</v>
      </c>
      <c r="K41" s="1">
        <v>0</v>
      </c>
      <c r="L41" s="1">
        <v>0</v>
      </c>
      <c r="M41" s="1">
        <v>1</v>
      </c>
      <c r="N41">
        <f>INT(VLOOKUP($J41,$A$2:$G$6,2,0)*$L41/2)</f>
        <v>0</v>
      </c>
      <c r="O41">
        <f>INT(VLOOKUP($J41,$A$2:$G$6,3,0)*$L41/2)</f>
        <v>0</v>
      </c>
      <c r="P41">
        <f>INT(VLOOKUP($J41,$A$2:$G$6,4,0)*$L41/2)</f>
        <v>0</v>
      </c>
      <c r="Q41">
        <f>INT(VLOOKUP($K41,$A$2:$G$6,2,0)*$M41/2)</f>
        <v>0</v>
      </c>
      <c r="R41">
        <f>INT(VLOOKUP($K41,$A$2:$G$6,3,0)*$M41/2)</f>
        <v>0</v>
      </c>
      <c r="S41">
        <f>INT(VLOOKUP($K41,$A$2:$G$6,4,0)*$M41/2)</f>
        <v>0</v>
      </c>
      <c r="T41">
        <f>INT((N41+Q41)/2)</f>
        <v>0</v>
      </c>
      <c r="U41">
        <f>INT((O41+R41)/2)</f>
        <v>0</v>
      </c>
      <c r="V41">
        <f>INT((P41+S41)/2)</f>
        <v>0</v>
      </c>
      <c r="W41" t="str">
        <f t="shared" si="3"/>
        <v>000000</v>
      </c>
      <c r="X41" t="b">
        <f t="shared" si="4"/>
        <v>0</v>
      </c>
      <c r="Y41">
        <f t="shared" si="5"/>
        <v>0</v>
      </c>
    </row>
    <row r="42" spans="9:25">
      <c r="I42">
        <v>100</v>
      </c>
      <c r="J42" s="1">
        <v>0</v>
      </c>
      <c r="K42" s="1">
        <v>0</v>
      </c>
      <c r="L42" s="1">
        <v>1</v>
      </c>
      <c r="M42" s="1">
        <v>1</v>
      </c>
      <c r="N42">
        <f>INT(VLOOKUP($J42,$A$2:$G$6,2,0)*$L42/2)</f>
        <v>0</v>
      </c>
      <c r="O42">
        <f>INT(VLOOKUP($J42,$A$2:$G$6,3,0)*$L42/2)</f>
        <v>0</v>
      </c>
      <c r="P42">
        <f>INT(VLOOKUP($J42,$A$2:$G$6,4,0)*$L42/2)</f>
        <v>0</v>
      </c>
      <c r="Q42">
        <f>INT(VLOOKUP($K42,$A$2:$G$6,2,0)*$M42/2)</f>
        <v>0</v>
      </c>
      <c r="R42">
        <f>INT(VLOOKUP($K42,$A$2:$G$6,3,0)*$M42/2)</f>
        <v>0</v>
      </c>
      <c r="S42">
        <f>INT(VLOOKUP($K42,$A$2:$G$6,4,0)*$M42/2)</f>
        <v>0</v>
      </c>
      <c r="T42">
        <f>INT((N42+Q42)/2)</f>
        <v>0</v>
      </c>
      <c r="U42">
        <f>INT((O42+R42)/2)</f>
        <v>0</v>
      </c>
      <c r="V42">
        <f>INT((P42+S42)/2)</f>
        <v>0</v>
      </c>
      <c r="W42" t="str">
        <f t="shared" si="3"/>
        <v>000000</v>
      </c>
      <c r="X42" t="b">
        <f t="shared" si="4"/>
        <v>1</v>
      </c>
      <c r="Y42">
        <f t="shared" si="5"/>
        <v>0</v>
      </c>
    </row>
    <row r="43" spans="9:25" hidden="1">
      <c r="I43">
        <v>125</v>
      </c>
      <c r="J43" s="1">
        <v>0</v>
      </c>
      <c r="K43" s="1">
        <v>0</v>
      </c>
      <c r="L43" s="1">
        <v>2</v>
      </c>
      <c r="M43" s="1">
        <v>1</v>
      </c>
      <c r="N43">
        <f>INT(VLOOKUP($J43,$A$2:$G$6,2,0)*$L43/2)</f>
        <v>0</v>
      </c>
      <c r="O43">
        <f>INT(VLOOKUP($J43,$A$2:$G$6,3,0)*$L43/2)</f>
        <v>0</v>
      </c>
      <c r="P43">
        <f>INT(VLOOKUP($J43,$A$2:$G$6,4,0)*$L43/2)</f>
        <v>0</v>
      </c>
      <c r="Q43">
        <f>INT(VLOOKUP($K43,$A$2:$G$6,2,0)*$M43/2)</f>
        <v>0</v>
      </c>
      <c r="R43">
        <f>INT(VLOOKUP($K43,$A$2:$G$6,3,0)*$M43/2)</f>
        <v>0</v>
      </c>
      <c r="S43">
        <f>INT(VLOOKUP($K43,$A$2:$G$6,4,0)*$M43/2)</f>
        <v>0</v>
      </c>
      <c r="T43">
        <f>INT((N43+Q43)/2)</f>
        <v>0</v>
      </c>
      <c r="U43">
        <f>INT((O43+R43)/2)</f>
        <v>0</v>
      </c>
      <c r="V43">
        <f>INT((P43+S43)/2)</f>
        <v>0</v>
      </c>
      <c r="W43" t="str">
        <f t="shared" si="3"/>
        <v>000000</v>
      </c>
      <c r="X43" t="b">
        <f t="shared" si="4"/>
        <v>0</v>
      </c>
      <c r="Y43">
        <f t="shared" si="5"/>
        <v>0</v>
      </c>
    </row>
    <row r="44" spans="9:25" hidden="1">
      <c r="I44">
        <v>150</v>
      </c>
      <c r="J44" s="1">
        <v>0</v>
      </c>
      <c r="K44" s="1">
        <v>0</v>
      </c>
      <c r="L44" s="1">
        <v>0</v>
      </c>
      <c r="M44" s="1">
        <v>2</v>
      </c>
      <c r="N44">
        <f>INT(VLOOKUP($J44,$A$2:$G$6,2,0)*$L44/2)</f>
        <v>0</v>
      </c>
      <c r="O44">
        <f>INT(VLOOKUP($J44,$A$2:$G$6,3,0)*$L44/2)</f>
        <v>0</v>
      </c>
      <c r="P44">
        <f>INT(VLOOKUP($J44,$A$2:$G$6,4,0)*$L44/2)</f>
        <v>0</v>
      </c>
      <c r="Q44">
        <f>INT(VLOOKUP($K44,$A$2:$G$6,2,0)*$M44/2)</f>
        <v>0</v>
      </c>
      <c r="R44">
        <f>INT(VLOOKUP($K44,$A$2:$G$6,3,0)*$M44/2)</f>
        <v>0</v>
      </c>
      <c r="S44">
        <f>INT(VLOOKUP($K44,$A$2:$G$6,4,0)*$M44/2)</f>
        <v>0</v>
      </c>
      <c r="T44">
        <f>INT((N44+Q44)/2)</f>
        <v>0</v>
      </c>
      <c r="U44">
        <f>INT((O44+R44)/2)</f>
        <v>0</v>
      </c>
      <c r="V44">
        <f>INT((P44+S44)/2)</f>
        <v>0</v>
      </c>
      <c r="W44" t="str">
        <f t="shared" si="3"/>
        <v>000000</v>
      </c>
      <c r="X44" t="b">
        <f t="shared" si="4"/>
        <v>0</v>
      </c>
      <c r="Y44">
        <f t="shared" si="5"/>
        <v>0</v>
      </c>
    </row>
    <row r="45" spans="9:25" hidden="1">
      <c r="I45">
        <v>151</v>
      </c>
      <c r="J45" s="1">
        <v>1</v>
      </c>
      <c r="K45" s="1">
        <v>0</v>
      </c>
      <c r="L45" s="1">
        <v>0</v>
      </c>
      <c r="M45" s="1">
        <v>2</v>
      </c>
      <c r="N45">
        <f>INT(VLOOKUP($J45,$A$2:$G$6,2,0)*$L45/2)</f>
        <v>0</v>
      </c>
      <c r="O45">
        <f>INT(VLOOKUP($J45,$A$2:$G$6,3,0)*$L45/2)</f>
        <v>0</v>
      </c>
      <c r="P45">
        <f>INT(VLOOKUP($J45,$A$2:$G$6,4,0)*$L45/2)</f>
        <v>0</v>
      </c>
      <c r="Q45">
        <f>INT(VLOOKUP($K45,$A$2:$G$6,2,0)*$M45/2)</f>
        <v>0</v>
      </c>
      <c r="R45">
        <f>INT(VLOOKUP($K45,$A$2:$G$6,3,0)*$M45/2)</f>
        <v>0</v>
      </c>
      <c r="S45">
        <f>INT(VLOOKUP($K45,$A$2:$G$6,4,0)*$M45/2)</f>
        <v>0</v>
      </c>
      <c r="T45">
        <f>INT((N45+Q45)/2)</f>
        <v>0</v>
      </c>
      <c r="U45">
        <f>INT((O45+R45)/2)</f>
        <v>0</v>
      </c>
      <c r="V45">
        <f>INT((P45+S45)/2)</f>
        <v>0</v>
      </c>
      <c r="W45" t="str">
        <f t="shared" si="3"/>
        <v>000000</v>
      </c>
      <c r="X45" t="b">
        <f t="shared" si="4"/>
        <v>0</v>
      </c>
      <c r="Y45">
        <f t="shared" si="5"/>
        <v>0</v>
      </c>
    </row>
    <row r="46" spans="9:25" hidden="1">
      <c r="I46">
        <v>152</v>
      </c>
      <c r="J46" s="1">
        <v>2</v>
      </c>
      <c r="K46" s="1">
        <v>0</v>
      </c>
      <c r="L46" s="1">
        <v>0</v>
      </c>
      <c r="M46" s="1">
        <v>2</v>
      </c>
      <c r="N46">
        <f>INT(VLOOKUP($J46,$A$2:$G$6,2,0)*$L46/2)</f>
        <v>0</v>
      </c>
      <c r="O46">
        <f>INT(VLOOKUP($J46,$A$2:$G$6,3,0)*$L46/2)</f>
        <v>0</v>
      </c>
      <c r="P46">
        <f>INT(VLOOKUP($J46,$A$2:$G$6,4,0)*$L46/2)</f>
        <v>0</v>
      </c>
      <c r="Q46">
        <f>INT(VLOOKUP($K46,$A$2:$G$6,2,0)*$M46/2)</f>
        <v>0</v>
      </c>
      <c r="R46">
        <f>INT(VLOOKUP($K46,$A$2:$G$6,3,0)*$M46/2)</f>
        <v>0</v>
      </c>
      <c r="S46">
        <f>INT(VLOOKUP($K46,$A$2:$G$6,4,0)*$M46/2)</f>
        <v>0</v>
      </c>
      <c r="T46">
        <f>INT((N46+Q46)/2)</f>
        <v>0</v>
      </c>
      <c r="U46">
        <f>INT((O46+R46)/2)</f>
        <v>0</v>
      </c>
      <c r="V46">
        <f>INT((P46+S46)/2)</f>
        <v>0</v>
      </c>
      <c r="W46" t="str">
        <f t="shared" si="3"/>
        <v>000000</v>
      </c>
      <c r="X46" t="b">
        <f t="shared" si="4"/>
        <v>0</v>
      </c>
      <c r="Y46">
        <f t="shared" si="5"/>
        <v>0</v>
      </c>
    </row>
    <row r="47" spans="9:25" hidden="1">
      <c r="I47">
        <v>153</v>
      </c>
      <c r="J47" s="1">
        <v>3</v>
      </c>
      <c r="K47" s="1">
        <v>0</v>
      </c>
      <c r="L47" s="1">
        <v>0</v>
      </c>
      <c r="M47" s="1">
        <v>2</v>
      </c>
      <c r="N47">
        <f>INT(VLOOKUP($J47,$A$2:$G$6,2,0)*$L47/2)</f>
        <v>0</v>
      </c>
      <c r="O47">
        <f>INT(VLOOKUP($J47,$A$2:$G$6,3,0)*$L47/2)</f>
        <v>0</v>
      </c>
      <c r="P47">
        <f>INT(VLOOKUP($J47,$A$2:$G$6,4,0)*$L47/2)</f>
        <v>0</v>
      </c>
      <c r="Q47">
        <f>INT(VLOOKUP($K47,$A$2:$G$6,2,0)*$M47/2)</f>
        <v>0</v>
      </c>
      <c r="R47">
        <f>INT(VLOOKUP($K47,$A$2:$G$6,3,0)*$M47/2)</f>
        <v>0</v>
      </c>
      <c r="S47">
        <f>INT(VLOOKUP($K47,$A$2:$G$6,4,0)*$M47/2)</f>
        <v>0</v>
      </c>
      <c r="T47">
        <f>INT((N47+Q47)/2)</f>
        <v>0</v>
      </c>
      <c r="U47">
        <f>INT((O47+R47)/2)</f>
        <v>0</v>
      </c>
      <c r="V47">
        <f>INT((P47+S47)/2)</f>
        <v>0</v>
      </c>
      <c r="W47" t="str">
        <f t="shared" si="3"/>
        <v>000000</v>
      </c>
      <c r="X47" t="b">
        <f t="shared" si="4"/>
        <v>0</v>
      </c>
      <c r="Y47">
        <f t="shared" si="5"/>
        <v>0</v>
      </c>
    </row>
    <row r="48" spans="9:25" hidden="1">
      <c r="I48">
        <v>154</v>
      </c>
      <c r="J48" s="1">
        <v>4</v>
      </c>
      <c r="K48" s="1">
        <v>0</v>
      </c>
      <c r="L48" s="1">
        <v>0</v>
      </c>
      <c r="M48" s="1">
        <v>2</v>
      </c>
      <c r="N48">
        <f>INT(VLOOKUP($J48,$A$2:$G$6,2,0)*$L48/2)</f>
        <v>0</v>
      </c>
      <c r="O48">
        <f>INT(VLOOKUP($J48,$A$2:$G$6,3,0)*$L48/2)</f>
        <v>0</v>
      </c>
      <c r="P48">
        <f>INT(VLOOKUP($J48,$A$2:$G$6,4,0)*$L48/2)</f>
        <v>0</v>
      </c>
      <c r="Q48">
        <f>INT(VLOOKUP($K48,$A$2:$G$6,2,0)*$M48/2)</f>
        <v>0</v>
      </c>
      <c r="R48">
        <f>INT(VLOOKUP($K48,$A$2:$G$6,3,0)*$M48/2)</f>
        <v>0</v>
      </c>
      <c r="S48">
        <f>INT(VLOOKUP($K48,$A$2:$G$6,4,0)*$M48/2)</f>
        <v>0</v>
      </c>
      <c r="T48">
        <f>INT((N48+Q48)/2)</f>
        <v>0</v>
      </c>
      <c r="U48">
        <f>INT((O48+R48)/2)</f>
        <v>0</v>
      </c>
      <c r="V48">
        <f>INT((P48+S48)/2)</f>
        <v>0</v>
      </c>
      <c r="W48" t="str">
        <f t="shared" si="3"/>
        <v>000000</v>
      </c>
      <c r="X48" t="b">
        <f t="shared" si="4"/>
        <v>0</v>
      </c>
      <c r="Y48">
        <f t="shared" si="5"/>
        <v>0</v>
      </c>
    </row>
    <row r="49" spans="9:25" hidden="1">
      <c r="I49">
        <v>175</v>
      </c>
      <c r="J49" s="1">
        <v>0</v>
      </c>
      <c r="K49" s="1">
        <v>0</v>
      </c>
      <c r="L49" s="1">
        <v>1</v>
      </c>
      <c r="M49" s="1">
        <v>2</v>
      </c>
      <c r="N49">
        <f>INT(VLOOKUP($J49,$A$2:$G$6,2,0)*$L49/2)</f>
        <v>0</v>
      </c>
      <c r="O49">
        <f>INT(VLOOKUP($J49,$A$2:$G$6,3,0)*$L49/2)</f>
        <v>0</v>
      </c>
      <c r="P49">
        <f>INT(VLOOKUP($J49,$A$2:$G$6,4,0)*$L49/2)</f>
        <v>0</v>
      </c>
      <c r="Q49">
        <f>INT(VLOOKUP($K49,$A$2:$G$6,2,0)*$M49/2)</f>
        <v>0</v>
      </c>
      <c r="R49">
        <f>INT(VLOOKUP($K49,$A$2:$G$6,3,0)*$M49/2)</f>
        <v>0</v>
      </c>
      <c r="S49">
        <f>INT(VLOOKUP($K49,$A$2:$G$6,4,0)*$M49/2)</f>
        <v>0</v>
      </c>
      <c r="T49">
        <f>INT((N49+Q49)/2)</f>
        <v>0</v>
      </c>
      <c r="U49">
        <f>INT((O49+R49)/2)</f>
        <v>0</v>
      </c>
      <c r="V49">
        <f>INT((P49+S49)/2)</f>
        <v>0</v>
      </c>
      <c r="W49" t="str">
        <f t="shared" si="3"/>
        <v>000000</v>
      </c>
      <c r="X49" t="b">
        <f t="shared" si="4"/>
        <v>0</v>
      </c>
      <c r="Y49">
        <f t="shared" si="5"/>
        <v>0</v>
      </c>
    </row>
    <row r="50" spans="9:25" hidden="1">
      <c r="I50">
        <v>200</v>
      </c>
      <c r="J50" s="1">
        <v>0</v>
      </c>
      <c r="K50" s="1">
        <v>0</v>
      </c>
      <c r="L50" s="1">
        <v>2</v>
      </c>
      <c r="M50" s="1">
        <v>2</v>
      </c>
      <c r="N50">
        <f>INT(VLOOKUP($J50,$A$2:$G$6,2,0)*$L50/2)</f>
        <v>0</v>
      </c>
      <c r="O50">
        <f>INT(VLOOKUP($J50,$A$2:$G$6,3,0)*$L50/2)</f>
        <v>0</v>
      </c>
      <c r="P50">
        <f>INT(VLOOKUP($J50,$A$2:$G$6,4,0)*$L50/2)</f>
        <v>0</v>
      </c>
      <c r="Q50">
        <f>INT(VLOOKUP($K50,$A$2:$G$6,2,0)*$M50/2)</f>
        <v>0</v>
      </c>
      <c r="R50">
        <f>INT(VLOOKUP($K50,$A$2:$G$6,3,0)*$M50/2)</f>
        <v>0</v>
      </c>
      <c r="S50">
        <f>INT(VLOOKUP($K50,$A$2:$G$6,4,0)*$M50/2)</f>
        <v>0</v>
      </c>
      <c r="T50">
        <f>INT((N50+Q50)/2)</f>
        <v>0</v>
      </c>
      <c r="U50">
        <f>INT((O50+R50)/2)</f>
        <v>0</v>
      </c>
      <c r="V50">
        <f>INT((P50+S50)/2)</f>
        <v>0</v>
      </c>
      <c r="W50" t="str">
        <f t="shared" si="3"/>
        <v>000000</v>
      </c>
      <c r="X50" t="b">
        <f t="shared" si="4"/>
        <v>0</v>
      </c>
      <c r="Y50">
        <f t="shared" si="5"/>
        <v>0</v>
      </c>
    </row>
    <row r="51" spans="9:25" hidden="1">
      <c r="I51">
        <v>26</v>
      </c>
      <c r="J51" s="1">
        <v>1</v>
      </c>
      <c r="K51" s="1">
        <v>0</v>
      </c>
      <c r="L51" s="1">
        <v>1</v>
      </c>
      <c r="M51" s="1">
        <v>0</v>
      </c>
      <c r="N51">
        <f>INT(VLOOKUP($J51,$A$2:$G$6,2,0)*$L51/2)</f>
        <v>0</v>
      </c>
      <c r="O51">
        <f>INT(VLOOKUP($J51,$A$2:$G$6,3,0)*$L51/2)</f>
        <v>0</v>
      </c>
      <c r="P51">
        <f>INT(VLOOKUP($J51,$A$2:$G$6,4,0)*$L51/2)</f>
        <v>127</v>
      </c>
      <c r="Q51">
        <f>INT(VLOOKUP($K51,$A$2:$G$6,2,0)*$M51/2)</f>
        <v>0</v>
      </c>
      <c r="R51">
        <f>INT(VLOOKUP($K51,$A$2:$G$6,3,0)*$M51/2)</f>
        <v>0</v>
      </c>
      <c r="S51">
        <f>INT(VLOOKUP($K51,$A$2:$G$6,4,0)*$M51/2)</f>
        <v>0</v>
      </c>
      <c r="T51">
        <f>INT((N51+Q51)/2)</f>
        <v>0</v>
      </c>
      <c r="U51">
        <f>INT((O51+R51)/2)</f>
        <v>0</v>
      </c>
      <c r="V51">
        <f>INT((P51+S51)/2)</f>
        <v>63</v>
      </c>
      <c r="W51" t="str">
        <f t="shared" si="3"/>
        <v>00003F</v>
      </c>
      <c r="X51" t="b">
        <f t="shared" si="4"/>
        <v>0</v>
      </c>
      <c r="Y51">
        <f t="shared" si="5"/>
        <v>1</v>
      </c>
    </row>
    <row r="52" spans="9:25" hidden="1">
      <c r="I52">
        <v>31</v>
      </c>
      <c r="J52" s="1">
        <v>1</v>
      </c>
      <c r="K52" s="1">
        <v>1</v>
      </c>
      <c r="L52" s="1">
        <v>1</v>
      </c>
      <c r="M52" s="1">
        <v>0</v>
      </c>
      <c r="N52">
        <f>INT(VLOOKUP($J52,$A$2:$G$6,2,0)*$L52/2)</f>
        <v>0</v>
      </c>
      <c r="O52">
        <f>INT(VLOOKUP($J52,$A$2:$G$6,3,0)*$L52/2)</f>
        <v>0</v>
      </c>
      <c r="P52">
        <f>INT(VLOOKUP($J52,$A$2:$G$6,4,0)*$L52/2)</f>
        <v>127</v>
      </c>
      <c r="Q52">
        <f>INT(VLOOKUP($K52,$A$2:$G$6,2,0)*$M52/2)</f>
        <v>0</v>
      </c>
      <c r="R52">
        <f>INT(VLOOKUP($K52,$A$2:$G$6,3,0)*$M52/2)</f>
        <v>0</v>
      </c>
      <c r="S52">
        <f>INT(VLOOKUP($K52,$A$2:$G$6,4,0)*$M52/2)</f>
        <v>0</v>
      </c>
      <c r="T52">
        <f>INT((N52+Q52)/2)</f>
        <v>0</v>
      </c>
      <c r="U52">
        <f>INT((O52+R52)/2)</f>
        <v>0</v>
      </c>
      <c r="V52">
        <f>INT((P52+S52)/2)</f>
        <v>63</v>
      </c>
      <c r="W52" t="str">
        <f t="shared" si="3"/>
        <v>00003F</v>
      </c>
      <c r="X52" t="b">
        <f t="shared" si="4"/>
        <v>0</v>
      </c>
      <c r="Y52">
        <f t="shared" si="5"/>
        <v>0</v>
      </c>
    </row>
    <row r="53" spans="9:25" hidden="1">
      <c r="I53">
        <v>36</v>
      </c>
      <c r="J53" s="1">
        <v>1</v>
      </c>
      <c r="K53" s="1">
        <v>2</v>
      </c>
      <c r="L53" s="1">
        <v>1</v>
      </c>
      <c r="M53" s="1">
        <v>0</v>
      </c>
      <c r="N53">
        <f>INT(VLOOKUP($J53,$A$2:$G$6,2,0)*$L53/2)</f>
        <v>0</v>
      </c>
      <c r="O53">
        <f>INT(VLOOKUP($J53,$A$2:$G$6,3,0)*$L53/2)</f>
        <v>0</v>
      </c>
      <c r="P53">
        <f>INT(VLOOKUP($J53,$A$2:$G$6,4,0)*$L53/2)</f>
        <v>127</v>
      </c>
      <c r="Q53">
        <f>INT(VLOOKUP($K53,$A$2:$G$6,2,0)*$M53/2)</f>
        <v>0</v>
      </c>
      <c r="R53">
        <f>INT(VLOOKUP($K53,$A$2:$G$6,3,0)*$M53/2)</f>
        <v>0</v>
      </c>
      <c r="S53">
        <f>INT(VLOOKUP($K53,$A$2:$G$6,4,0)*$M53/2)</f>
        <v>0</v>
      </c>
      <c r="T53">
        <f>INT((N53+Q53)/2)</f>
        <v>0</v>
      </c>
      <c r="U53">
        <f>INT((O53+R53)/2)</f>
        <v>0</v>
      </c>
      <c r="V53">
        <f>INT((P53+S53)/2)</f>
        <v>63</v>
      </c>
      <c r="W53" t="str">
        <f t="shared" si="3"/>
        <v>00003F</v>
      </c>
      <c r="X53" t="b">
        <f t="shared" si="4"/>
        <v>0</v>
      </c>
      <c r="Y53">
        <f t="shared" si="5"/>
        <v>0</v>
      </c>
    </row>
    <row r="54" spans="9:25" hidden="1">
      <c r="I54">
        <v>41</v>
      </c>
      <c r="J54" s="1">
        <v>1</v>
      </c>
      <c r="K54" s="1">
        <v>3</v>
      </c>
      <c r="L54" s="1">
        <v>1</v>
      </c>
      <c r="M54" s="1">
        <v>0</v>
      </c>
      <c r="N54">
        <f>INT(VLOOKUP($J54,$A$2:$G$6,2,0)*$L54/2)</f>
        <v>0</v>
      </c>
      <c r="O54">
        <f>INT(VLOOKUP($J54,$A$2:$G$6,3,0)*$L54/2)</f>
        <v>0</v>
      </c>
      <c r="P54">
        <f>INT(VLOOKUP($J54,$A$2:$G$6,4,0)*$L54/2)</f>
        <v>127</v>
      </c>
      <c r="Q54">
        <f>INT(VLOOKUP($K54,$A$2:$G$6,2,0)*$M54/2)</f>
        <v>0</v>
      </c>
      <c r="R54">
        <f>INT(VLOOKUP($K54,$A$2:$G$6,3,0)*$M54/2)</f>
        <v>0</v>
      </c>
      <c r="S54">
        <f>INT(VLOOKUP($K54,$A$2:$G$6,4,0)*$M54/2)</f>
        <v>0</v>
      </c>
      <c r="T54">
        <f>INT((N54+Q54)/2)</f>
        <v>0</v>
      </c>
      <c r="U54">
        <f>INT((O54+R54)/2)</f>
        <v>0</v>
      </c>
      <c r="V54">
        <f>INT((P54+S54)/2)</f>
        <v>63</v>
      </c>
      <c r="W54" t="str">
        <f t="shared" si="3"/>
        <v>00003F</v>
      </c>
      <c r="X54" t="b">
        <f t="shared" si="4"/>
        <v>0</v>
      </c>
      <c r="Y54">
        <f t="shared" si="5"/>
        <v>0</v>
      </c>
    </row>
    <row r="55" spans="9:25" hidden="1">
      <c r="I55">
        <v>46</v>
      </c>
      <c r="J55" s="1">
        <v>1</v>
      </c>
      <c r="K55" s="1">
        <v>4</v>
      </c>
      <c r="L55" s="1">
        <v>1</v>
      </c>
      <c r="M55" s="1">
        <v>0</v>
      </c>
      <c r="N55">
        <f>INT(VLOOKUP($J55,$A$2:$G$6,2,0)*$L55/2)</f>
        <v>0</v>
      </c>
      <c r="O55">
        <f>INT(VLOOKUP($J55,$A$2:$G$6,3,0)*$L55/2)</f>
        <v>0</v>
      </c>
      <c r="P55">
        <f>INT(VLOOKUP($J55,$A$2:$G$6,4,0)*$L55/2)</f>
        <v>127</v>
      </c>
      <c r="Q55">
        <f>INT(VLOOKUP($K55,$A$2:$G$6,2,0)*$M55/2)</f>
        <v>0</v>
      </c>
      <c r="R55">
        <f>INT(VLOOKUP($K55,$A$2:$G$6,3,0)*$M55/2)</f>
        <v>0</v>
      </c>
      <c r="S55">
        <f>INT(VLOOKUP($K55,$A$2:$G$6,4,0)*$M55/2)</f>
        <v>0</v>
      </c>
      <c r="T55">
        <f>INT((N55+Q55)/2)</f>
        <v>0</v>
      </c>
      <c r="U55">
        <f>INT((O55+R55)/2)</f>
        <v>0</v>
      </c>
      <c r="V55">
        <f>INT((P55+S55)/2)</f>
        <v>63</v>
      </c>
      <c r="W55" t="str">
        <f t="shared" si="3"/>
        <v>00003F</v>
      </c>
      <c r="X55" t="b">
        <f t="shared" si="4"/>
        <v>0</v>
      </c>
      <c r="Y55">
        <f t="shared" si="5"/>
        <v>0</v>
      </c>
    </row>
    <row r="56" spans="9:25" hidden="1">
      <c r="I56">
        <v>80</v>
      </c>
      <c r="J56" s="1">
        <v>0</v>
      </c>
      <c r="K56" s="1">
        <v>1</v>
      </c>
      <c r="L56" s="1">
        <v>0</v>
      </c>
      <c r="M56" s="1">
        <v>1</v>
      </c>
      <c r="N56">
        <f>INT(VLOOKUP($J56,$A$2:$G$6,2,0)*$L56/2)</f>
        <v>0</v>
      </c>
      <c r="O56">
        <f>INT(VLOOKUP($J56,$A$2:$G$6,3,0)*$L56/2)</f>
        <v>0</v>
      </c>
      <c r="P56">
        <f>INT(VLOOKUP($J56,$A$2:$G$6,4,0)*$L56/2)</f>
        <v>0</v>
      </c>
      <c r="Q56">
        <f>INT(VLOOKUP($K56,$A$2:$G$6,2,0)*$M56/2)</f>
        <v>0</v>
      </c>
      <c r="R56">
        <f>INT(VLOOKUP($K56,$A$2:$G$6,3,0)*$M56/2)</f>
        <v>0</v>
      </c>
      <c r="S56">
        <f>INT(VLOOKUP($K56,$A$2:$G$6,4,0)*$M56/2)</f>
        <v>127</v>
      </c>
      <c r="T56">
        <f>INT((N56+Q56)/2)</f>
        <v>0</v>
      </c>
      <c r="U56">
        <f>INT((O56+R56)/2)</f>
        <v>0</v>
      </c>
      <c r="V56">
        <f>INT((P56+S56)/2)</f>
        <v>63</v>
      </c>
      <c r="W56" t="str">
        <f t="shared" si="3"/>
        <v>00003F</v>
      </c>
      <c r="X56" t="b">
        <f t="shared" si="4"/>
        <v>0</v>
      </c>
      <c r="Y56">
        <f t="shared" si="5"/>
        <v>0</v>
      </c>
    </row>
    <row r="57" spans="9:25" hidden="1">
      <c r="I57">
        <v>81</v>
      </c>
      <c r="J57" s="1">
        <v>1</v>
      </c>
      <c r="K57" s="1">
        <v>1</v>
      </c>
      <c r="L57" s="1">
        <v>0</v>
      </c>
      <c r="M57" s="1">
        <v>1</v>
      </c>
      <c r="N57">
        <f>INT(VLOOKUP($J57,$A$2:$G$6,2,0)*$L57/2)</f>
        <v>0</v>
      </c>
      <c r="O57">
        <f>INT(VLOOKUP($J57,$A$2:$G$6,3,0)*$L57/2)</f>
        <v>0</v>
      </c>
      <c r="P57">
        <f>INT(VLOOKUP($J57,$A$2:$G$6,4,0)*$L57/2)</f>
        <v>0</v>
      </c>
      <c r="Q57">
        <f>INT(VLOOKUP($K57,$A$2:$G$6,2,0)*$M57/2)</f>
        <v>0</v>
      </c>
      <c r="R57">
        <f>INT(VLOOKUP($K57,$A$2:$G$6,3,0)*$M57/2)</f>
        <v>0</v>
      </c>
      <c r="S57">
        <f>INT(VLOOKUP($K57,$A$2:$G$6,4,0)*$M57/2)</f>
        <v>127</v>
      </c>
      <c r="T57">
        <f>INT((N57+Q57)/2)</f>
        <v>0</v>
      </c>
      <c r="U57">
        <f>INT((O57+R57)/2)</f>
        <v>0</v>
      </c>
      <c r="V57">
        <f>INT((P57+S57)/2)</f>
        <v>63</v>
      </c>
      <c r="W57" t="str">
        <f t="shared" si="3"/>
        <v>00003F</v>
      </c>
      <c r="X57" t="b">
        <f t="shared" si="4"/>
        <v>0</v>
      </c>
      <c r="Y57">
        <f t="shared" si="5"/>
        <v>0</v>
      </c>
    </row>
    <row r="58" spans="9:25" hidden="1">
      <c r="I58">
        <v>82</v>
      </c>
      <c r="J58" s="1">
        <v>2</v>
      </c>
      <c r="K58" s="1">
        <v>1</v>
      </c>
      <c r="L58" s="1">
        <v>0</v>
      </c>
      <c r="M58" s="1">
        <v>1</v>
      </c>
      <c r="N58">
        <f>INT(VLOOKUP($J58,$A$2:$G$6,2,0)*$L58/2)</f>
        <v>0</v>
      </c>
      <c r="O58">
        <f>INT(VLOOKUP($J58,$A$2:$G$6,3,0)*$L58/2)</f>
        <v>0</v>
      </c>
      <c r="P58">
        <f>INT(VLOOKUP($J58,$A$2:$G$6,4,0)*$L58/2)</f>
        <v>0</v>
      </c>
      <c r="Q58">
        <f>INT(VLOOKUP($K58,$A$2:$G$6,2,0)*$M58/2)</f>
        <v>0</v>
      </c>
      <c r="R58">
        <f>INT(VLOOKUP($K58,$A$2:$G$6,3,0)*$M58/2)</f>
        <v>0</v>
      </c>
      <c r="S58">
        <f>INT(VLOOKUP($K58,$A$2:$G$6,4,0)*$M58/2)</f>
        <v>127</v>
      </c>
      <c r="T58">
        <f>INT((N58+Q58)/2)</f>
        <v>0</v>
      </c>
      <c r="U58">
        <f>INT((O58+R58)/2)</f>
        <v>0</v>
      </c>
      <c r="V58">
        <f>INT((P58+S58)/2)</f>
        <v>63</v>
      </c>
      <c r="W58" t="str">
        <f t="shared" si="3"/>
        <v>00003F</v>
      </c>
      <c r="X58" t="b">
        <f t="shared" si="4"/>
        <v>0</v>
      </c>
      <c r="Y58">
        <f t="shared" si="5"/>
        <v>0</v>
      </c>
    </row>
    <row r="59" spans="9:25" hidden="1">
      <c r="I59">
        <v>83</v>
      </c>
      <c r="J59" s="1">
        <v>3</v>
      </c>
      <c r="K59" s="1">
        <v>1</v>
      </c>
      <c r="L59" s="1">
        <v>0</v>
      </c>
      <c r="M59" s="1">
        <v>1</v>
      </c>
      <c r="N59">
        <f>INT(VLOOKUP($J59,$A$2:$G$6,2,0)*$L59/2)</f>
        <v>0</v>
      </c>
      <c r="O59">
        <f>INT(VLOOKUP($J59,$A$2:$G$6,3,0)*$L59/2)</f>
        <v>0</v>
      </c>
      <c r="P59">
        <f>INT(VLOOKUP($J59,$A$2:$G$6,4,0)*$L59/2)</f>
        <v>0</v>
      </c>
      <c r="Q59">
        <f>INT(VLOOKUP($K59,$A$2:$G$6,2,0)*$M59/2)</f>
        <v>0</v>
      </c>
      <c r="R59">
        <f>INT(VLOOKUP($K59,$A$2:$G$6,3,0)*$M59/2)</f>
        <v>0</v>
      </c>
      <c r="S59">
        <f>INT(VLOOKUP($K59,$A$2:$G$6,4,0)*$M59/2)</f>
        <v>127</v>
      </c>
      <c r="T59">
        <f>INT((N59+Q59)/2)</f>
        <v>0</v>
      </c>
      <c r="U59">
        <f>INT((O59+R59)/2)</f>
        <v>0</v>
      </c>
      <c r="V59">
        <f>INT((P59+S59)/2)</f>
        <v>63</v>
      </c>
      <c r="W59" t="str">
        <f t="shared" si="3"/>
        <v>00003F</v>
      </c>
      <c r="X59" t="b">
        <f t="shared" si="4"/>
        <v>0</v>
      </c>
      <c r="Y59">
        <f t="shared" si="5"/>
        <v>0</v>
      </c>
    </row>
    <row r="60" spans="9:25" hidden="1">
      <c r="I60">
        <v>84</v>
      </c>
      <c r="J60" s="1">
        <v>4</v>
      </c>
      <c r="K60" s="1">
        <v>1</v>
      </c>
      <c r="L60" s="1">
        <v>0</v>
      </c>
      <c r="M60" s="1">
        <v>1</v>
      </c>
      <c r="N60">
        <f>INT(VLOOKUP($J60,$A$2:$G$6,2,0)*$L60/2)</f>
        <v>0</v>
      </c>
      <c r="O60">
        <f>INT(VLOOKUP($J60,$A$2:$G$6,3,0)*$L60/2)</f>
        <v>0</v>
      </c>
      <c r="P60">
        <f>INT(VLOOKUP($J60,$A$2:$G$6,4,0)*$L60/2)</f>
        <v>0</v>
      </c>
      <c r="Q60">
        <f>INT(VLOOKUP($K60,$A$2:$G$6,2,0)*$M60/2)</f>
        <v>0</v>
      </c>
      <c r="R60">
        <f>INT(VLOOKUP($K60,$A$2:$G$6,3,0)*$M60/2)</f>
        <v>0</v>
      </c>
      <c r="S60">
        <f>INT(VLOOKUP($K60,$A$2:$G$6,4,0)*$M60/2)</f>
        <v>127</v>
      </c>
      <c r="T60">
        <f>INT((N60+Q60)/2)</f>
        <v>0</v>
      </c>
      <c r="U60">
        <f>INT((O60+R60)/2)</f>
        <v>0</v>
      </c>
      <c r="V60">
        <f>INT((P60+S60)/2)</f>
        <v>63</v>
      </c>
      <c r="W60" t="str">
        <f t="shared" si="3"/>
        <v>00003F</v>
      </c>
      <c r="X60" t="b">
        <f t="shared" si="4"/>
        <v>0</v>
      </c>
      <c r="Y60">
        <f t="shared" si="5"/>
        <v>0</v>
      </c>
    </row>
    <row r="61" spans="9:25" hidden="1">
      <c r="I61">
        <v>101</v>
      </c>
      <c r="J61" s="1">
        <v>1</v>
      </c>
      <c r="K61" s="1">
        <v>0</v>
      </c>
      <c r="L61" s="1">
        <v>1</v>
      </c>
      <c r="M61" s="1">
        <v>1</v>
      </c>
      <c r="N61">
        <f>INT(VLOOKUP($J61,$A$2:$G$6,2,0)*$L61/2)</f>
        <v>0</v>
      </c>
      <c r="O61">
        <f>INT(VLOOKUP($J61,$A$2:$G$6,3,0)*$L61/2)</f>
        <v>0</v>
      </c>
      <c r="P61">
        <f>INT(VLOOKUP($J61,$A$2:$G$6,4,0)*$L61/2)</f>
        <v>127</v>
      </c>
      <c r="Q61">
        <f>INT(VLOOKUP($K61,$A$2:$G$6,2,0)*$M61/2)</f>
        <v>0</v>
      </c>
      <c r="R61">
        <f>INT(VLOOKUP($K61,$A$2:$G$6,3,0)*$M61/2)</f>
        <v>0</v>
      </c>
      <c r="S61">
        <f>INT(VLOOKUP($K61,$A$2:$G$6,4,0)*$M61/2)</f>
        <v>0</v>
      </c>
      <c r="T61">
        <f>INT((N61+Q61)/2)</f>
        <v>0</v>
      </c>
      <c r="U61">
        <f>INT((O61+R61)/2)</f>
        <v>0</v>
      </c>
      <c r="V61">
        <f>INT((P61+S61)/2)</f>
        <v>63</v>
      </c>
      <c r="W61" t="str">
        <f t="shared" si="3"/>
        <v>00003F</v>
      </c>
      <c r="X61" t="b">
        <f t="shared" si="4"/>
        <v>0</v>
      </c>
      <c r="Y61">
        <f t="shared" si="5"/>
        <v>0</v>
      </c>
    </row>
    <row r="62" spans="9:25" hidden="1">
      <c r="I62">
        <v>105</v>
      </c>
      <c r="J62" s="1">
        <v>0</v>
      </c>
      <c r="K62" s="1">
        <v>1</v>
      </c>
      <c r="L62" s="1">
        <v>1</v>
      </c>
      <c r="M62" s="1">
        <v>1</v>
      </c>
      <c r="N62">
        <f>INT(VLOOKUP($J62,$A$2:$G$6,2,0)*$L62/2)</f>
        <v>0</v>
      </c>
      <c r="O62">
        <f>INT(VLOOKUP($J62,$A$2:$G$6,3,0)*$L62/2)</f>
        <v>0</v>
      </c>
      <c r="P62">
        <f>INT(VLOOKUP($J62,$A$2:$G$6,4,0)*$L62/2)</f>
        <v>0</v>
      </c>
      <c r="Q62">
        <f>INT(VLOOKUP($K62,$A$2:$G$6,2,0)*$M62/2)</f>
        <v>0</v>
      </c>
      <c r="R62">
        <f>INT(VLOOKUP($K62,$A$2:$G$6,3,0)*$M62/2)</f>
        <v>0</v>
      </c>
      <c r="S62">
        <f>INT(VLOOKUP($K62,$A$2:$G$6,4,0)*$M62/2)</f>
        <v>127</v>
      </c>
      <c r="T62">
        <f>INT((N62+Q62)/2)</f>
        <v>0</v>
      </c>
      <c r="U62">
        <f>INT((O62+R62)/2)</f>
        <v>0</v>
      </c>
      <c r="V62">
        <f>INT((P62+S62)/2)</f>
        <v>63</v>
      </c>
      <c r="W62" t="str">
        <f t="shared" si="3"/>
        <v>00003F</v>
      </c>
      <c r="X62" t="b">
        <f t="shared" si="4"/>
        <v>0</v>
      </c>
      <c r="Y62">
        <f t="shared" si="5"/>
        <v>0</v>
      </c>
    </row>
    <row r="63" spans="9:25" hidden="1">
      <c r="I63">
        <v>130</v>
      </c>
      <c r="J63" s="1">
        <v>0</v>
      </c>
      <c r="K63" s="1">
        <v>1</v>
      </c>
      <c r="L63" s="1">
        <v>2</v>
      </c>
      <c r="M63" s="1">
        <v>1</v>
      </c>
      <c r="N63">
        <f>INT(VLOOKUP($J63,$A$2:$G$6,2,0)*$L63/2)</f>
        <v>0</v>
      </c>
      <c r="O63">
        <f>INT(VLOOKUP($J63,$A$2:$G$6,3,0)*$L63/2)</f>
        <v>0</v>
      </c>
      <c r="P63">
        <f>INT(VLOOKUP($J63,$A$2:$G$6,4,0)*$L63/2)</f>
        <v>0</v>
      </c>
      <c r="Q63">
        <f>INT(VLOOKUP($K63,$A$2:$G$6,2,0)*$M63/2)</f>
        <v>0</v>
      </c>
      <c r="R63">
        <f>INT(VLOOKUP($K63,$A$2:$G$6,3,0)*$M63/2)</f>
        <v>0</v>
      </c>
      <c r="S63">
        <f>INT(VLOOKUP($K63,$A$2:$G$6,4,0)*$M63/2)</f>
        <v>127</v>
      </c>
      <c r="T63">
        <f>INT((N63+Q63)/2)</f>
        <v>0</v>
      </c>
      <c r="U63">
        <f>INT((O63+R63)/2)</f>
        <v>0</v>
      </c>
      <c r="V63">
        <f>INT((P63+S63)/2)</f>
        <v>63</v>
      </c>
      <c r="W63" t="str">
        <f t="shared" si="3"/>
        <v>00003F</v>
      </c>
      <c r="X63" t="b">
        <f t="shared" si="4"/>
        <v>0</v>
      </c>
      <c r="Y63">
        <f t="shared" si="5"/>
        <v>0</v>
      </c>
    </row>
    <row r="64" spans="9:25" hidden="1">
      <c r="I64">
        <v>176</v>
      </c>
      <c r="J64" s="1">
        <v>1</v>
      </c>
      <c r="K64" s="1">
        <v>0</v>
      </c>
      <c r="L64" s="1">
        <v>1</v>
      </c>
      <c r="M64" s="1">
        <v>2</v>
      </c>
      <c r="N64">
        <f>INT(VLOOKUP($J64,$A$2:$G$6,2,0)*$L64/2)</f>
        <v>0</v>
      </c>
      <c r="O64">
        <f>INT(VLOOKUP($J64,$A$2:$G$6,3,0)*$L64/2)</f>
        <v>0</v>
      </c>
      <c r="P64">
        <f>INT(VLOOKUP($J64,$A$2:$G$6,4,0)*$L64/2)</f>
        <v>127</v>
      </c>
      <c r="Q64">
        <f>INT(VLOOKUP($K64,$A$2:$G$6,2,0)*$M64/2)</f>
        <v>0</v>
      </c>
      <c r="R64">
        <f>INT(VLOOKUP($K64,$A$2:$G$6,3,0)*$M64/2)</f>
        <v>0</v>
      </c>
      <c r="S64">
        <f>INT(VLOOKUP($K64,$A$2:$G$6,4,0)*$M64/2)</f>
        <v>0</v>
      </c>
      <c r="T64">
        <f>INT((N64+Q64)/2)</f>
        <v>0</v>
      </c>
      <c r="U64">
        <f>INT((O64+R64)/2)</f>
        <v>0</v>
      </c>
      <c r="V64">
        <f>INT((P64+S64)/2)</f>
        <v>63</v>
      </c>
      <c r="W64" t="str">
        <f t="shared" si="3"/>
        <v>00003F</v>
      </c>
      <c r="X64" t="b">
        <f t="shared" si="4"/>
        <v>0</v>
      </c>
      <c r="Y64">
        <f t="shared" si="5"/>
        <v>0</v>
      </c>
    </row>
    <row r="65" spans="9:25" hidden="1">
      <c r="I65">
        <v>51</v>
      </c>
      <c r="J65" s="1">
        <v>1</v>
      </c>
      <c r="K65" s="1">
        <v>0</v>
      </c>
      <c r="L65" s="1">
        <v>2</v>
      </c>
      <c r="M65" s="1">
        <v>0</v>
      </c>
      <c r="N65">
        <f>INT(VLOOKUP($J65,$A$2:$G$6,2,0)*$L65/2)</f>
        <v>0</v>
      </c>
      <c r="O65">
        <f>INT(VLOOKUP($J65,$A$2:$G$6,3,0)*$L65/2)</f>
        <v>0</v>
      </c>
      <c r="P65">
        <f>INT(VLOOKUP($J65,$A$2:$G$6,4,0)*$L65/2)</f>
        <v>255</v>
      </c>
      <c r="Q65">
        <f>INT(VLOOKUP($K65,$A$2:$G$6,2,0)*$M65/2)</f>
        <v>0</v>
      </c>
      <c r="R65">
        <f>INT(VLOOKUP($K65,$A$2:$G$6,3,0)*$M65/2)</f>
        <v>0</v>
      </c>
      <c r="S65">
        <f>INT(VLOOKUP($K65,$A$2:$G$6,4,0)*$M65/2)</f>
        <v>0</v>
      </c>
      <c r="T65">
        <f>INT((N65+Q65)/2)</f>
        <v>0</v>
      </c>
      <c r="U65">
        <f>INT((O65+R65)/2)</f>
        <v>0</v>
      </c>
      <c r="V65">
        <f>INT((P65+S65)/2)</f>
        <v>127</v>
      </c>
      <c r="W65" t="str">
        <f t="shared" si="3"/>
        <v>00007F</v>
      </c>
      <c r="X65" t="b">
        <f t="shared" si="4"/>
        <v>0</v>
      </c>
      <c r="Y65">
        <f t="shared" si="5"/>
        <v>1</v>
      </c>
    </row>
    <row r="66" spans="9:25" hidden="1">
      <c r="I66">
        <v>56</v>
      </c>
      <c r="J66" s="1">
        <v>1</v>
      </c>
      <c r="K66" s="1">
        <v>1</v>
      </c>
      <c r="L66" s="1">
        <v>2</v>
      </c>
      <c r="M66" s="1">
        <v>0</v>
      </c>
      <c r="N66">
        <f>INT(VLOOKUP($J66,$A$2:$G$6,2,0)*$L66/2)</f>
        <v>0</v>
      </c>
      <c r="O66">
        <f>INT(VLOOKUP($J66,$A$2:$G$6,3,0)*$L66/2)</f>
        <v>0</v>
      </c>
      <c r="P66">
        <f>INT(VLOOKUP($J66,$A$2:$G$6,4,0)*$L66/2)</f>
        <v>255</v>
      </c>
      <c r="Q66">
        <f>INT(VLOOKUP($K66,$A$2:$G$6,2,0)*$M66/2)</f>
        <v>0</v>
      </c>
      <c r="R66">
        <f>INT(VLOOKUP($K66,$A$2:$G$6,3,0)*$M66/2)</f>
        <v>0</v>
      </c>
      <c r="S66">
        <f>INT(VLOOKUP($K66,$A$2:$G$6,4,0)*$M66/2)</f>
        <v>0</v>
      </c>
      <c r="T66">
        <f>INT((N66+Q66)/2)</f>
        <v>0</v>
      </c>
      <c r="U66">
        <f>INT((O66+R66)/2)</f>
        <v>0</v>
      </c>
      <c r="V66">
        <f>INT((P66+S66)/2)</f>
        <v>127</v>
      </c>
      <c r="W66" t="str">
        <f t="shared" si="3"/>
        <v>00007F</v>
      </c>
      <c r="X66" t="b">
        <f t="shared" si="4"/>
        <v>0</v>
      </c>
      <c r="Y66">
        <f t="shared" si="5"/>
        <v>0</v>
      </c>
    </row>
    <row r="67" spans="9:25" hidden="1">
      <c r="I67">
        <v>61</v>
      </c>
      <c r="J67" s="1">
        <v>1</v>
      </c>
      <c r="K67" s="1">
        <v>2</v>
      </c>
      <c r="L67" s="1">
        <v>2</v>
      </c>
      <c r="M67" s="1">
        <v>0</v>
      </c>
      <c r="N67">
        <f>INT(VLOOKUP($J67,$A$2:$G$6,2,0)*$L67/2)</f>
        <v>0</v>
      </c>
      <c r="O67">
        <f>INT(VLOOKUP($J67,$A$2:$G$6,3,0)*$L67/2)</f>
        <v>0</v>
      </c>
      <c r="P67">
        <f>INT(VLOOKUP($J67,$A$2:$G$6,4,0)*$L67/2)</f>
        <v>255</v>
      </c>
      <c r="Q67">
        <f>INT(VLOOKUP($K67,$A$2:$G$6,2,0)*$M67/2)</f>
        <v>0</v>
      </c>
      <c r="R67">
        <f>INT(VLOOKUP($K67,$A$2:$G$6,3,0)*$M67/2)</f>
        <v>0</v>
      </c>
      <c r="S67">
        <f>INT(VLOOKUP($K67,$A$2:$G$6,4,0)*$M67/2)</f>
        <v>0</v>
      </c>
      <c r="T67">
        <f>INT((N67+Q67)/2)</f>
        <v>0</v>
      </c>
      <c r="U67">
        <f>INT((O67+R67)/2)</f>
        <v>0</v>
      </c>
      <c r="V67">
        <f>INT((P67+S67)/2)</f>
        <v>127</v>
      </c>
      <c r="W67" t="str">
        <f t="shared" ref="W67:W130" si="6">DEC2HEX(T67,2)&amp;DEC2HEX(U67,2)&amp;DEC2HEX(V67,2)</f>
        <v>00007F</v>
      </c>
      <c r="X67" t="b">
        <f t="shared" ref="X67:X130" si="7">AND(J67=K67,L67=1,M67=1)</f>
        <v>0</v>
      </c>
      <c r="Y67">
        <f t="shared" ref="Y67:Y130" si="8">INT(W67&lt;&gt;W66)</f>
        <v>0</v>
      </c>
    </row>
    <row r="68" spans="9:25" hidden="1">
      <c r="I68">
        <v>66</v>
      </c>
      <c r="J68" s="1">
        <v>1</v>
      </c>
      <c r="K68" s="1">
        <v>3</v>
      </c>
      <c r="L68" s="1">
        <v>2</v>
      </c>
      <c r="M68" s="1">
        <v>0</v>
      </c>
      <c r="N68">
        <f>INT(VLOOKUP($J68,$A$2:$G$6,2,0)*$L68/2)</f>
        <v>0</v>
      </c>
      <c r="O68">
        <f>INT(VLOOKUP($J68,$A$2:$G$6,3,0)*$L68/2)</f>
        <v>0</v>
      </c>
      <c r="P68">
        <f>INT(VLOOKUP($J68,$A$2:$G$6,4,0)*$L68/2)</f>
        <v>255</v>
      </c>
      <c r="Q68">
        <f>INT(VLOOKUP($K68,$A$2:$G$6,2,0)*$M68/2)</f>
        <v>0</v>
      </c>
      <c r="R68">
        <f>INT(VLOOKUP($K68,$A$2:$G$6,3,0)*$M68/2)</f>
        <v>0</v>
      </c>
      <c r="S68">
        <f>INT(VLOOKUP($K68,$A$2:$G$6,4,0)*$M68/2)</f>
        <v>0</v>
      </c>
      <c r="T68">
        <f>INT((N68+Q68)/2)</f>
        <v>0</v>
      </c>
      <c r="U68">
        <f>INT((O68+R68)/2)</f>
        <v>0</v>
      </c>
      <c r="V68">
        <f>INT((P68+S68)/2)</f>
        <v>127</v>
      </c>
      <c r="W68" t="str">
        <f t="shared" si="6"/>
        <v>00007F</v>
      </c>
      <c r="X68" t="b">
        <f t="shared" si="7"/>
        <v>0</v>
      </c>
      <c r="Y68">
        <f t="shared" si="8"/>
        <v>0</v>
      </c>
    </row>
    <row r="69" spans="9:25" hidden="1">
      <c r="I69">
        <v>71</v>
      </c>
      <c r="J69" s="1">
        <v>1</v>
      </c>
      <c r="K69" s="1">
        <v>4</v>
      </c>
      <c r="L69" s="1">
        <v>2</v>
      </c>
      <c r="M69" s="1">
        <v>0</v>
      </c>
      <c r="N69">
        <f>INT(VLOOKUP($J69,$A$2:$G$6,2,0)*$L69/2)</f>
        <v>0</v>
      </c>
      <c r="O69">
        <f>INT(VLOOKUP($J69,$A$2:$G$6,3,0)*$L69/2)</f>
        <v>0</v>
      </c>
      <c r="P69">
        <f>INT(VLOOKUP($J69,$A$2:$G$6,4,0)*$L69/2)</f>
        <v>255</v>
      </c>
      <c r="Q69">
        <f>INT(VLOOKUP($K69,$A$2:$G$6,2,0)*$M69/2)</f>
        <v>0</v>
      </c>
      <c r="R69">
        <f>INT(VLOOKUP($K69,$A$2:$G$6,3,0)*$M69/2)</f>
        <v>0</v>
      </c>
      <c r="S69">
        <f>INT(VLOOKUP($K69,$A$2:$G$6,4,0)*$M69/2)</f>
        <v>0</v>
      </c>
      <c r="T69">
        <f>INT((N69+Q69)/2)</f>
        <v>0</v>
      </c>
      <c r="U69">
        <f>INT((O69+R69)/2)</f>
        <v>0</v>
      </c>
      <c r="V69">
        <f>INT((P69+S69)/2)</f>
        <v>127</v>
      </c>
      <c r="W69" t="str">
        <f t="shared" si="6"/>
        <v>00007F</v>
      </c>
      <c r="X69" t="b">
        <f t="shared" si="7"/>
        <v>0</v>
      </c>
      <c r="Y69">
        <f t="shared" si="8"/>
        <v>0</v>
      </c>
    </row>
    <row r="70" spans="9:25">
      <c r="I70">
        <v>106</v>
      </c>
      <c r="J70" s="1">
        <v>1</v>
      </c>
      <c r="K70" s="1">
        <v>1</v>
      </c>
      <c r="L70" s="1">
        <v>1</v>
      </c>
      <c r="M70" s="1">
        <v>1</v>
      </c>
      <c r="N70">
        <f>INT(VLOOKUP($J70,$A$2:$G$6,2,0)*$L70/2)</f>
        <v>0</v>
      </c>
      <c r="O70">
        <f>INT(VLOOKUP($J70,$A$2:$G$6,3,0)*$L70/2)</f>
        <v>0</v>
      </c>
      <c r="P70">
        <f>INT(VLOOKUP($J70,$A$2:$G$6,4,0)*$L70/2)</f>
        <v>127</v>
      </c>
      <c r="Q70">
        <f>INT(VLOOKUP($K70,$A$2:$G$6,2,0)*$M70/2)</f>
        <v>0</v>
      </c>
      <c r="R70">
        <f>INT(VLOOKUP($K70,$A$2:$G$6,3,0)*$M70/2)</f>
        <v>0</v>
      </c>
      <c r="S70">
        <f>INT(VLOOKUP($K70,$A$2:$G$6,4,0)*$M70/2)</f>
        <v>127</v>
      </c>
      <c r="T70">
        <f>INT((N70+Q70)/2)</f>
        <v>0</v>
      </c>
      <c r="U70">
        <f>INT((O70+R70)/2)</f>
        <v>0</v>
      </c>
      <c r="V70">
        <f>INT((P70+S70)/2)</f>
        <v>127</v>
      </c>
      <c r="W70" t="str">
        <f t="shared" si="6"/>
        <v>00007F</v>
      </c>
      <c r="X70" t="b">
        <f t="shared" si="7"/>
        <v>1</v>
      </c>
      <c r="Y70">
        <f t="shared" si="8"/>
        <v>0</v>
      </c>
    </row>
    <row r="71" spans="9:25" hidden="1">
      <c r="I71">
        <v>126</v>
      </c>
      <c r="J71" s="1">
        <v>1</v>
      </c>
      <c r="K71" s="1">
        <v>0</v>
      </c>
      <c r="L71" s="1">
        <v>2</v>
      </c>
      <c r="M71" s="1">
        <v>1</v>
      </c>
      <c r="N71">
        <f>INT(VLOOKUP($J71,$A$2:$G$6,2,0)*$L71/2)</f>
        <v>0</v>
      </c>
      <c r="O71">
        <f>INT(VLOOKUP($J71,$A$2:$G$6,3,0)*$L71/2)</f>
        <v>0</v>
      </c>
      <c r="P71">
        <f>INT(VLOOKUP($J71,$A$2:$G$6,4,0)*$L71/2)</f>
        <v>255</v>
      </c>
      <c r="Q71">
        <f>INT(VLOOKUP($K71,$A$2:$G$6,2,0)*$M71/2)</f>
        <v>0</v>
      </c>
      <c r="R71">
        <f>INT(VLOOKUP($K71,$A$2:$G$6,3,0)*$M71/2)</f>
        <v>0</v>
      </c>
      <c r="S71">
        <f>INT(VLOOKUP($K71,$A$2:$G$6,4,0)*$M71/2)</f>
        <v>0</v>
      </c>
      <c r="T71">
        <f>INT((N71+Q71)/2)</f>
        <v>0</v>
      </c>
      <c r="U71">
        <f>INT((O71+R71)/2)</f>
        <v>0</v>
      </c>
      <c r="V71">
        <f>INT((P71+S71)/2)</f>
        <v>127</v>
      </c>
      <c r="W71" t="str">
        <f t="shared" si="6"/>
        <v>00007F</v>
      </c>
      <c r="X71" t="b">
        <f t="shared" si="7"/>
        <v>0</v>
      </c>
      <c r="Y71">
        <f t="shared" si="8"/>
        <v>0</v>
      </c>
    </row>
    <row r="72" spans="9:25" hidden="1">
      <c r="I72">
        <v>155</v>
      </c>
      <c r="J72" s="1">
        <v>0</v>
      </c>
      <c r="K72" s="1">
        <v>1</v>
      </c>
      <c r="L72" s="1">
        <v>0</v>
      </c>
      <c r="M72" s="1">
        <v>2</v>
      </c>
      <c r="N72">
        <f>INT(VLOOKUP($J72,$A$2:$G$6,2,0)*$L72/2)</f>
        <v>0</v>
      </c>
      <c r="O72">
        <f>INT(VLOOKUP($J72,$A$2:$G$6,3,0)*$L72/2)</f>
        <v>0</v>
      </c>
      <c r="P72">
        <f>INT(VLOOKUP($J72,$A$2:$G$6,4,0)*$L72/2)</f>
        <v>0</v>
      </c>
      <c r="Q72">
        <f>INT(VLOOKUP($K72,$A$2:$G$6,2,0)*$M72/2)</f>
        <v>0</v>
      </c>
      <c r="R72">
        <f>INT(VLOOKUP($K72,$A$2:$G$6,3,0)*$M72/2)</f>
        <v>0</v>
      </c>
      <c r="S72">
        <f>INT(VLOOKUP($K72,$A$2:$G$6,4,0)*$M72/2)</f>
        <v>255</v>
      </c>
      <c r="T72">
        <f>INT((N72+Q72)/2)</f>
        <v>0</v>
      </c>
      <c r="U72">
        <f>INT((O72+R72)/2)</f>
        <v>0</v>
      </c>
      <c r="V72">
        <f>INT((P72+S72)/2)</f>
        <v>127</v>
      </c>
      <c r="W72" t="str">
        <f t="shared" si="6"/>
        <v>00007F</v>
      </c>
      <c r="X72" t="b">
        <f t="shared" si="7"/>
        <v>0</v>
      </c>
      <c r="Y72">
        <f t="shared" si="8"/>
        <v>0</v>
      </c>
    </row>
    <row r="73" spans="9:25" hidden="1">
      <c r="I73">
        <v>156</v>
      </c>
      <c r="J73" s="1">
        <v>1</v>
      </c>
      <c r="K73" s="1">
        <v>1</v>
      </c>
      <c r="L73" s="1">
        <v>0</v>
      </c>
      <c r="M73" s="1">
        <v>2</v>
      </c>
      <c r="N73">
        <f>INT(VLOOKUP($J73,$A$2:$G$6,2,0)*$L73/2)</f>
        <v>0</v>
      </c>
      <c r="O73">
        <f>INT(VLOOKUP($J73,$A$2:$G$6,3,0)*$L73/2)</f>
        <v>0</v>
      </c>
      <c r="P73">
        <f>INT(VLOOKUP($J73,$A$2:$G$6,4,0)*$L73/2)</f>
        <v>0</v>
      </c>
      <c r="Q73">
        <f>INT(VLOOKUP($K73,$A$2:$G$6,2,0)*$M73/2)</f>
        <v>0</v>
      </c>
      <c r="R73">
        <f>INT(VLOOKUP($K73,$A$2:$G$6,3,0)*$M73/2)</f>
        <v>0</v>
      </c>
      <c r="S73">
        <f>INT(VLOOKUP($K73,$A$2:$G$6,4,0)*$M73/2)</f>
        <v>255</v>
      </c>
      <c r="T73">
        <f>INT((N73+Q73)/2)</f>
        <v>0</v>
      </c>
      <c r="U73">
        <f>INT((O73+R73)/2)</f>
        <v>0</v>
      </c>
      <c r="V73">
        <f>INT((P73+S73)/2)</f>
        <v>127</v>
      </c>
      <c r="W73" t="str">
        <f t="shared" si="6"/>
        <v>00007F</v>
      </c>
      <c r="X73" t="b">
        <f t="shared" si="7"/>
        <v>0</v>
      </c>
      <c r="Y73">
        <f t="shared" si="8"/>
        <v>0</v>
      </c>
    </row>
    <row r="74" spans="9:25" hidden="1">
      <c r="I74">
        <v>157</v>
      </c>
      <c r="J74" s="1">
        <v>2</v>
      </c>
      <c r="K74" s="1">
        <v>1</v>
      </c>
      <c r="L74" s="1">
        <v>0</v>
      </c>
      <c r="M74" s="1">
        <v>2</v>
      </c>
      <c r="N74">
        <f>INT(VLOOKUP($J74,$A$2:$G$6,2,0)*$L74/2)</f>
        <v>0</v>
      </c>
      <c r="O74">
        <f>INT(VLOOKUP($J74,$A$2:$G$6,3,0)*$L74/2)</f>
        <v>0</v>
      </c>
      <c r="P74">
        <f>INT(VLOOKUP($J74,$A$2:$G$6,4,0)*$L74/2)</f>
        <v>0</v>
      </c>
      <c r="Q74">
        <f>INT(VLOOKUP($K74,$A$2:$G$6,2,0)*$M74/2)</f>
        <v>0</v>
      </c>
      <c r="R74">
        <f>INT(VLOOKUP($K74,$A$2:$G$6,3,0)*$M74/2)</f>
        <v>0</v>
      </c>
      <c r="S74">
        <f>INT(VLOOKUP($K74,$A$2:$G$6,4,0)*$M74/2)</f>
        <v>255</v>
      </c>
      <c r="T74">
        <f>INT((N74+Q74)/2)</f>
        <v>0</v>
      </c>
      <c r="U74">
        <f>INT((O74+R74)/2)</f>
        <v>0</v>
      </c>
      <c r="V74">
        <f>INT((P74+S74)/2)</f>
        <v>127</v>
      </c>
      <c r="W74" t="str">
        <f t="shared" si="6"/>
        <v>00007F</v>
      </c>
      <c r="X74" t="b">
        <f t="shared" si="7"/>
        <v>0</v>
      </c>
      <c r="Y74">
        <f t="shared" si="8"/>
        <v>0</v>
      </c>
    </row>
    <row r="75" spans="9:25" hidden="1">
      <c r="I75">
        <v>158</v>
      </c>
      <c r="J75" s="1">
        <v>3</v>
      </c>
      <c r="K75" s="1">
        <v>1</v>
      </c>
      <c r="L75" s="1">
        <v>0</v>
      </c>
      <c r="M75" s="1">
        <v>2</v>
      </c>
      <c r="N75">
        <f>INT(VLOOKUP($J75,$A$2:$G$6,2,0)*$L75/2)</f>
        <v>0</v>
      </c>
      <c r="O75">
        <f>INT(VLOOKUP($J75,$A$2:$G$6,3,0)*$L75/2)</f>
        <v>0</v>
      </c>
      <c r="P75">
        <f>INT(VLOOKUP($J75,$A$2:$G$6,4,0)*$L75/2)</f>
        <v>0</v>
      </c>
      <c r="Q75">
        <f>INT(VLOOKUP($K75,$A$2:$G$6,2,0)*$M75/2)</f>
        <v>0</v>
      </c>
      <c r="R75">
        <f>INT(VLOOKUP($K75,$A$2:$G$6,3,0)*$M75/2)</f>
        <v>0</v>
      </c>
      <c r="S75">
        <f>INT(VLOOKUP($K75,$A$2:$G$6,4,0)*$M75/2)</f>
        <v>255</v>
      </c>
      <c r="T75">
        <f>INT((N75+Q75)/2)</f>
        <v>0</v>
      </c>
      <c r="U75">
        <f>INT((O75+R75)/2)</f>
        <v>0</v>
      </c>
      <c r="V75">
        <f>INT((P75+S75)/2)</f>
        <v>127</v>
      </c>
      <c r="W75" t="str">
        <f t="shared" si="6"/>
        <v>00007F</v>
      </c>
      <c r="X75" t="b">
        <f t="shared" si="7"/>
        <v>0</v>
      </c>
      <c r="Y75">
        <f t="shared" si="8"/>
        <v>0</v>
      </c>
    </row>
    <row r="76" spans="9:25" hidden="1">
      <c r="I76">
        <v>159</v>
      </c>
      <c r="J76" s="1">
        <v>4</v>
      </c>
      <c r="K76" s="1">
        <v>1</v>
      </c>
      <c r="L76" s="1">
        <v>0</v>
      </c>
      <c r="M76" s="1">
        <v>2</v>
      </c>
      <c r="N76">
        <f>INT(VLOOKUP($J76,$A$2:$G$6,2,0)*$L76/2)</f>
        <v>0</v>
      </c>
      <c r="O76">
        <f>INT(VLOOKUP($J76,$A$2:$G$6,3,0)*$L76/2)</f>
        <v>0</v>
      </c>
      <c r="P76">
        <f>INT(VLOOKUP($J76,$A$2:$G$6,4,0)*$L76/2)</f>
        <v>0</v>
      </c>
      <c r="Q76">
        <f>INT(VLOOKUP($K76,$A$2:$G$6,2,0)*$M76/2)</f>
        <v>0</v>
      </c>
      <c r="R76">
        <f>INT(VLOOKUP($K76,$A$2:$G$6,3,0)*$M76/2)</f>
        <v>0</v>
      </c>
      <c r="S76">
        <f>INT(VLOOKUP($K76,$A$2:$G$6,4,0)*$M76/2)</f>
        <v>255</v>
      </c>
      <c r="T76">
        <f>INT((N76+Q76)/2)</f>
        <v>0</v>
      </c>
      <c r="U76">
        <f>INT((O76+R76)/2)</f>
        <v>0</v>
      </c>
      <c r="V76">
        <f>INT((P76+S76)/2)</f>
        <v>127</v>
      </c>
      <c r="W76" t="str">
        <f t="shared" si="6"/>
        <v>00007F</v>
      </c>
      <c r="X76" t="b">
        <f t="shared" si="7"/>
        <v>0</v>
      </c>
      <c r="Y76">
        <f t="shared" si="8"/>
        <v>0</v>
      </c>
    </row>
    <row r="77" spans="9:25" hidden="1">
      <c r="I77">
        <v>180</v>
      </c>
      <c r="J77" s="1">
        <v>0</v>
      </c>
      <c r="K77" s="1">
        <v>1</v>
      </c>
      <c r="L77" s="1">
        <v>1</v>
      </c>
      <c r="M77" s="1">
        <v>2</v>
      </c>
      <c r="N77">
        <f>INT(VLOOKUP($J77,$A$2:$G$6,2,0)*$L77/2)</f>
        <v>0</v>
      </c>
      <c r="O77">
        <f>INT(VLOOKUP($J77,$A$2:$G$6,3,0)*$L77/2)</f>
        <v>0</v>
      </c>
      <c r="P77">
        <f>INT(VLOOKUP($J77,$A$2:$G$6,4,0)*$L77/2)</f>
        <v>0</v>
      </c>
      <c r="Q77">
        <f>INT(VLOOKUP($K77,$A$2:$G$6,2,0)*$M77/2)</f>
        <v>0</v>
      </c>
      <c r="R77">
        <f>INT(VLOOKUP($K77,$A$2:$G$6,3,0)*$M77/2)</f>
        <v>0</v>
      </c>
      <c r="S77">
        <f>INT(VLOOKUP($K77,$A$2:$G$6,4,0)*$M77/2)</f>
        <v>255</v>
      </c>
      <c r="T77">
        <f>INT((N77+Q77)/2)</f>
        <v>0</v>
      </c>
      <c r="U77">
        <f>INT((O77+R77)/2)</f>
        <v>0</v>
      </c>
      <c r="V77">
        <f>INT((P77+S77)/2)</f>
        <v>127</v>
      </c>
      <c r="W77" t="str">
        <f t="shared" si="6"/>
        <v>00007F</v>
      </c>
      <c r="X77" t="b">
        <f t="shared" si="7"/>
        <v>0</v>
      </c>
      <c r="Y77">
        <f t="shared" si="8"/>
        <v>0</v>
      </c>
    </row>
    <row r="78" spans="9:25" hidden="1">
      <c r="I78">
        <v>201</v>
      </c>
      <c r="J78" s="1">
        <v>1</v>
      </c>
      <c r="K78" s="1">
        <v>0</v>
      </c>
      <c r="L78" s="1">
        <v>2</v>
      </c>
      <c r="M78" s="1">
        <v>2</v>
      </c>
      <c r="N78">
        <f>INT(VLOOKUP($J78,$A$2:$G$6,2,0)*$L78/2)</f>
        <v>0</v>
      </c>
      <c r="O78">
        <f>INT(VLOOKUP($J78,$A$2:$G$6,3,0)*$L78/2)</f>
        <v>0</v>
      </c>
      <c r="P78">
        <f>INT(VLOOKUP($J78,$A$2:$G$6,4,0)*$L78/2)</f>
        <v>255</v>
      </c>
      <c r="Q78">
        <f>INT(VLOOKUP($K78,$A$2:$G$6,2,0)*$M78/2)</f>
        <v>0</v>
      </c>
      <c r="R78">
        <f>INT(VLOOKUP($K78,$A$2:$G$6,3,0)*$M78/2)</f>
        <v>0</v>
      </c>
      <c r="S78">
        <f>INT(VLOOKUP($K78,$A$2:$G$6,4,0)*$M78/2)</f>
        <v>0</v>
      </c>
      <c r="T78">
        <f>INT((N78+Q78)/2)</f>
        <v>0</v>
      </c>
      <c r="U78">
        <f>INT((O78+R78)/2)</f>
        <v>0</v>
      </c>
      <c r="V78">
        <f>INT((P78+S78)/2)</f>
        <v>127</v>
      </c>
      <c r="W78" t="str">
        <f t="shared" si="6"/>
        <v>00007F</v>
      </c>
      <c r="X78" t="b">
        <f t="shared" si="7"/>
        <v>0</v>
      </c>
      <c r="Y78">
        <f t="shared" si="8"/>
        <v>0</v>
      </c>
    </row>
    <row r="79" spans="9:25" hidden="1">
      <c r="I79">
        <v>205</v>
      </c>
      <c r="J79" s="1">
        <v>0</v>
      </c>
      <c r="K79" s="1">
        <v>1</v>
      </c>
      <c r="L79" s="1">
        <v>2</v>
      </c>
      <c r="M79" s="1">
        <v>2</v>
      </c>
      <c r="N79">
        <f>INT(VLOOKUP($J79,$A$2:$G$6,2,0)*$L79/2)</f>
        <v>0</v>
      </c>
      <c r="O79">
        <f>INT(VLOOKUP($J79,$A$2:$G$6,3,0)*$L79/2)</f>
        <v>0</v>
      </c>
      <c r="P79">
        <f>INT(VLOOKUP($J79,$A$2:$G$6,4,0)*$L79/2)</f>
        <v>0</v>
      </c>
      <c r="Q79">
        <f>INT(VLOOKUP($K79,$A$2:$G$6,2,0)*$M79/2)</f>
        <v>0</v>
      </c>
      <c r="R79">
        <f>INT(VLOOKUP($K79,$A$2:$G$6,3,0)*$M79/2)</f>
        <v>0</v>
      </c>
      <c r="S79">
        <f>INT(VLOOKUP($K79,$A$2:$G$6,4,0)*$M79/2)</f>
        <v>255</v>
      </c>
      <c r="T79">
        <f>INT((N79+Q79)/2)</f>
        <v>0</v>
      </c>
      <c r="U79">
        <f>INT((O79+R79)/2)</f>
        <v>0</v>
      </c>
      <c r="V79">
        <f>INT((P79+S79)/2)</f>
        <v>127</v>
      </c>
      <c r="W79" t="str">
        <f t="shared" si="6"/>
        <v>00007F</v>
      </c>
      <c r="X79" t="b">
        <f t="shared" si="7"/>
        <v>0</v>
      </c>
      <c r="Y79">
        <f t="shared" si="8"/>
        <v>0</v>
      </c>
    </row>
    <row r="80" spans="9:25" hidden="1">
      <c r="I80">
        <v>131</v>
      </c>
      <c r="J80" s="1">
        <v>1</v>
      </c>
      <c r="K80" s="1">
        <v>1</v>
      </c>
      <c r="L80" s="1">
        <v>2</v>
      </c>
      <c r="M80" s="1">
        <v>1</v>
      </c>
      <c r="N80">
        <f>INT(VLOOKUP($J80,$A$2:$G$6,2,0)*$L80/2)</f>
        <v>0</v>
      </c>
      <c r="O80">
        <f>INT(VLOOKUP($J80,$A$2:$G$6,3,0)*$L80/2)</f>
        <v>0</v>
      </c>
      <c r="P80">
        <f>INT(VLOOKUP($J80,$A$2:$G$6,4,0)*$L80/2)</f>
        <v>255</v>
      </c>
      <c r="Q80">
        <f>INT(VLOOKUP($K80,$A$2:$G$6,2,0)*$M80/2)</f>
        <v>0</v>
      </c>
      <c r="R80">
        <f>INT(VLOOKUP($K80,$A$2:$G$6,3,0)*$M80/2)</f>
        <v>0</v>
      </c>
      <c r="S80">
        <f>INT(VLOOKUP($K80,$A$2:$G$6,4,0)*$M80/2)</f>
        <v>127</v>
      </c>
      <c r="T80">
        <f>INT((N80+Q80)/2)</f>
        <v>0</v>
      </c>
      <c r="U80">
        <f>INT((O80+R80)/2)</f>
        <v>0</v>
      </c>
      <c r="V80">
        <f>INT((P80+S80)/2)</f>
        <v>191</v>
      </c>
      <c r="W80" t="str">
        <f t="shared" si="6"/>
        <v>0000BF</v>
      </c>
      <c r="X80" t="b">
        <f t="shared" si="7"/>
        <v>0</v>
      </c>
      <c r="Y80">
        <f t="shared" si="8"/>
        <v>1</v>
      </c>
    </row>
    <row r="81" spans="9:25" hidden="1">
      <c r="I81">
        <v>181</v>
      </c>
      <c r="J81" s="1">
        <v>1</v>
      </c>
      <c r="K81" s="1">
        <v>1</v>
      </c>
      <c r="L81" s="1">
        <v>1</v>
      </c>
      <c r="M81" s="1">
        <v>2</v>
      </c>
      <c r="N81">
        <f>INT(VLOOKUP($J81,$A$2:$G$6,2,0)*$L81/2)</f>
        <v>0</v>
      </c>
      <c r="O81">
        <f>INT(VLOOKUP($J81,$A$2:$G$6,3,0)*$L81/2)</f>
        <v>0</v>
      </c>
      <c r="P81">
        <f>INT(VLOOKUP($J81,$A$2:$G$6,4,0)*$L81/2)</f>
        <v>127</v>
      </c>
      <c r="Q81">
        <f>INT(VLOOKUP($K81,$A$2:$G$6,2,0)*$M81/2)</f>
        <v>0</v>
      </c>
      <c r="R81">
        <f>INT(VLOOKUP($K81,$A$2:$G$6,3,0)*$M81/2)</f>
        <v>0</v>
      </c>
      <c r="S81">
        <f>INT(VLOOKUP($K81,$A$2:$G$6,4,0)*$M81/2)</f>
        <v>255</v>
      </c>
      <c r="T81">
        <f>INT((N81+Q81)/2)</f>
        <v>0</v>
      </c>
      <c r="U81">
        <f>INT((O81+R81)/2)</f>
        <v>0</v>
      </c>
      <c r="V81">
        <f>INT((P81+S81)/2)</f>
        <v>191</v>
      </c>
      <c r="W81" t="str">
        <f t="shared" si="6"/>
        <v>0000BF</v>
      </c>
      <c r="X81" t="b">
        <f t="shared" si="7"/>
        <v>0</v>
      </c>
      <c r="Y81">
        <f t="shared" si="8"/>
        <v>0</v>
      </c>
    </row>
    <row r="82" spans="9:25" hidden="1">
      <c r="I82">
        <v>206</v>
      </c>
      <c r="J82" s="1">
        <v>1</v>
      </c>
      <c r="K82" s="1">
        <v>1</v>
      </c>
      <c r="L82" s="1">
        <v>2</v>
      </c>
      <c r="M82" s="1">
        <v>2</v>
      </c>
      <c r="N82">
        <f>INT(VLOOKUP($J82,$A$2:$G$6,2,0)*$L82/2)</f>
        <v>0</v>
      </c>
      <c r="O82">
        <f>INT(VLOOKUP($J82,$A$2:$G$6,3,0)*$L82/2)</f>
        <v>0</v>
      </c>
      <c r="P82">
        <f>INT(VLOOKUP($J82,$A$2:$G$6,4,0)*$L82/2)</f>
        <v>255</v>
      </c>
      <c r="Q82">
        <f>INT(VLOOKUP($K82,$A$2:$G$6,2,0)*$M82/2)</f>
        <v>0</v>
      </c>
      <c r="R82">
        <f>INT(VLOOKUP($K82,$A$2:$G$6,3,0)*$M82/2)</f>
        <v>0</v>
      </c>
      <c r="S82">
        <f>INT(VLOOKUP($K82,$A$2:$G$6,4,0)*$M82/2)</f>
        <v>255</v>
      </c>
      <c r="T82">
        <f>INT((N82+Q82)/2)</f>
        <v>0</v>
      </c>
      <c r="U82">
        <f>INT((O82+R82)/2)</f>
        <v>0</v>
      </c>
      <c r="V82">
        <f>INT((P82+S82)/2)</f>
        <v>255</v>
      </c>
      <c r="W82" t="str">
        <f t="shared" si="6"/>
        <v>0000FF</v>
      </c>
      <c r="X82" t="b">
        <f t="shared" si="7"/>
        <v>0</v>
      </c>
      <c r="Y82">
        <f t="shared" si="8"/>
        <v>1</v>
      </c>
    </row>
    <row r="83" spans="9:25" hidden="1">
      <c r="I83">
        <v>29</v>
      </c>
      <c r="J83" s="1">
        <v>4</v>
      </c>
      <c r="K83" s="1">
        <v>0</v>
      </c>
      <c r="L83" s="1">
        <v>1</v>
      </c>
      <c r="M83" s="1">
        <v>0</v>
      </c>
      <c r="N83">
        <f>INT(VLOOKUP($J83,$A$2:$G$6,2,0)*$L83/2)</f>
        <v>0</v>
      </c>
      <c r="O83">
        <f>INT(VLOOKUP($J83,$A$2:$G$6,3,0)*$L83/2)</f>
        <v>127</v>
      </c>
      <c r="P83">
        <f>INT(VLOOKUP($J83,$A$2:$G$6,4,0)*$L83/2)</f>
        <v>0</v>
      </c>
      <c r="Q83">
        <f>INT(VLOOKUP($K83,$A$2:$G$6,2,0)*$M83/2)</f>
        <v>0</v>
      </c>
      <c r="R83">
        <f>INT(VLOOKUP($K83,$A$2:$G$6,3,0)*$M83/2)</f>
        <v>0</v>
      </c>
      <c r="S83">
        <f>INT(VLOOKUP($K83,$A$2:$G$6,4,0)*$M83/2)</f>
        <v>0</v>
      </c>
      <c r="T83">
        <f>INT((N83+Q83)/2)</f>
        <v>0</v>
      </c>
      <c r="U83">
        <f>INT((O83+R83)/2)</f>
        <v>63</v>
      </c>
      <c r="V83">
        <f>INT((P83+S83)/2)</f>
        <v>0</v>
      </c>
      <c r="W83" t="str">
        <f t="shared" si="6"/>
        <v>003F00</v>
      </c>
      <c r="X83" t="b">
        <f t="shared" si="7"/>
        <v>0</v>
      </c>
      <c r="Y83">
        <f t="shared" si="8"/>
        <v>1</v>
      </c>
    </row>
    <row r="84" spans="9:25" hidden="1">
      <c r="I84">
        <v>34</v>
      </c>
      <c r="J84" s="1">
        <v>4</v>
      </c>
      <c r="K84" s="1">
        <v>1</v>
      </c>
      <c r="L84" s="1">
        <v>1</v>
      </c>
      <c r="M84" s="1">
        <v>0</v>
      </c>
      <c r="N84">
        <f>INT(VLOOKUP($J84,$A$2:$G$6,2,0)*$L84/2)</f>
        <v>0</v>
      </c>
      <c r="O84">
        <f>INT(VLOOKUP($J84,$A$2:$G$6,3,0)*$L84/2)</f>
        <v>127</v>
      </c>
      <c r="P84">
        <f>INT(VLOOKUP($J84,$A$2:$G$6,4,0)*$L84/2)</f>
        <v>0</v>
      </c>
      <c r="Q84">
        <f>INT(VLOOKUP($K84,$A$2:$G$6,2,0)*$M84/2)</f>
        <v>0</v>
      </c>
      <c r="R84">
        <f>INT(VLOOKUP($K84,$A$2:$G$6,3,0)*$M84/2)</f>
        <v>0</v>
      </c>
      <c r="S84">
        <f>INT(VLOOKUP($K84,$A$2:$G$6,4,0)*$M84/2)</f>
        <v>0</v>
      </c>
      <c r="T84">
        <f>INT((N84+Q84)/2)</f>
        <v>0</v>
      </c>
      <c r="U84">
        <f>INT((O84+R84)/2)</f>
        <v>63</v>
      </c>
      <c r="V84">
        <f>INT((P84+S84)/2)</f>
        <v>0</v>
      </c>
      <c r="W84" t="str">
        <f t="shared" si="6"/>
        <v>003F00</v>
      </c>
      <c r="X84" t="b">
        <f t="shared" si="7"/>
        <v>0</v>
      </c>
      <c r="Y84">
        <f t="shared" si="8"/>
        <v>0</v>
      </c>
    </row>
    <row r="85" spans="9:25" hidden="1">
      <c r="I85">
        <v>39</v>
      </c>
      <c r="J85" s="1">
        <v>4</v>
      </c>
      <c r="K85" s="1">
        <v>2</v>
      </c>
      <c r="L85" s="1">
        <v>1</v>
      </c>
      <c r="M85" s="1">
        <v>0</v>
      </c>
      <c r="N85">
        <f>INT(VLOOKUP($J85,$A$2:$G$6,2,0)*$L85/2)</f>
        <v>0</v>
      </c>
      <c r="O85">
        <f>INT(VLOOKUP($J85,$A$2:$G$6,3,0)*$L85/2)</f>
        <v>127</v>
      </c>
      <c r="P85">
        <f>INT(VLOOKUP($J85,$A$2:$G$6,4,0)*$L85/2)</f>
        <v>0</v>
      </c>
      <c r="Q85">
        <f>INT(VLOOKUP($K85,$A$2:$G$6,2,0)*$M85/2)</f>
        <v>0</v>
      </c>
      <c r="R85">
        <f>INT(VLOOKUP($K85,$A$2:$G$6,3,0)*$M85/2)</f>
        <v>0</v>
      </c>
      <c r="S85">
        <f>INT(VLOOKUP($K85,$A$2:$G$6,4,0)*$M85/2)</f>
        <v>0</v>
      </c>
      <c r="T85">
        <f>INT((N85+Q85)/2)</f>
        <v>0</v>
      </c>
      <c r="U85">
        <f>INT((O85+R85)/2)</f>
        <v>63</v>
      </c>
      <c r="V85">
        <f>INT((P85+S85)/2)</f>
        <v>0</v>
      </c>
      <c r="W85" t="str">
        <f t="shared" si="6"/>
        <v>003F00</v>
      </c>
      <c r="X85" t="b">
        <f t="shared" si="7"/>
        <v>0</v>
      </c>
      <c r="Y85">
        <f t="shared" si="8"/>
        <v>0</v>
      </c>
    </row>
    <row r="86" spans="9:25" hidden="1">
      <c r="I86">
        <v>44</v>
      </c>
      <c r="J86" s="1">
        <v>4</v>
      </c>
      <c r="K86" s="1">
        <v>3</v>
      </c>
      <c r="L86" s="1">
        <v>1</v>
      </c>
      <c r="M86" s="1">
        <v>0</v>
      </c>
      <c r="N86">
        <f>INT(VLOOKUP($J86,$A$2:$G$6,2,0)*$L86/2)</f>
        <v>0</v>
      </c>
      <c r="O86">
        <f>INT(VLOOKUP($J86,$A$2:$G$6,3,0)*$L86/2)</f>
        <v>127</v>
      </c>
      <c r="P86">
        <f>INT(VLOOKUP($J86,$A$2:$G$6,4,0)*$L86/2)</f>
        <v>0</v>
      </c>
      <c r="Q86">
        <f>INT(VLOOKUP($K86,$A$2:$G$6,2,0)*$M86/2)</f>
        <v>0</v>
      </c>
      <c r="R86">
        <f>INT(VLOOKUP($K86,$A$2:$G$6,3,0)*$M86/2)</f>
        <v>0</v>
      </c>
      <c r="S86">
        <f>INT(VLOOKUP($K86,$A$2:$G$6,4,0)*$M86/2)</f>
        <v>0</v>
      </c>
      <c r="T86">
        <f>INT((N86+Q86)/2)</f>
        <v>0</v>
      </c>
      <c r="U86">
        <f>INT((O86+R86)/2)</f>
        <v>63</v>
      </c>
      <c r="V86">
        <f>INT((P86+S86)/2)</f>
        <v>0</v>
      </c>
      <c r="W86" t="str">
        <f t="shared" si="6"/>
        <v>003F00</v>
      </c>
      <c r="X86" t="b">
        <f t="shared" si="7"/>
        <v>0</v>
      </c>
      <c r="Y86">
        <f t="shared" si="8"/>
        <v>0</v>
      </c>
    </row>
    <row r="87" spans="9:25" hidden="1">
      <c r="I87">
        <v>49</v>
      </c>
      <c r="J87" s="1">
        <v>4</v>
      </c>
      <c r="K87" s="1">
        <v>4</v>
      </c>
      <c r="L87" s="1">
        <v>1</v>
      </c>
      <c r="M87" s="1">
        <v>0</v>
      </c>
      <c r="N87">
        <f>INT(VLOOKUP($J87,$A$2:$G$6,2,0)*$L87/2)</f>
        <v>0</v>
      </c>
      <c r="O87">
        <f>INT(VLOOKUP($J87,$A$2:$G$6,3,0)*$L87/2)</f>
        <v>127</v>
      </c>
      <c r="P87">
        <f>INT(VLOOKUP($J87,$A$2:$G$6,4,0)*$L87/2)</f>
        <v>0</v>
      </c>
      <c r="Q87">
        <f>INT(VLOOKUP($K87,$A$2:$G$6,2,0)*$M87/2)</f>
        <v>0</v>
      </c>
      <c r="R87">
        <f>INT(VLOOKUP($K87,$A$2:$G$6,3,0)*$M87/2)</f>
        <v>0</v>
      </c>
      <c r="S87">
        <f>INT(VLOOKUP($K87,$A$2:$G$6,4,0)*$M87/2)</f>
        <v>0</v>
      </c>
      <c r="T87">
        <f>INT((N87+Q87)/2)</f>
        <v>0</v>
      </c>
      <c r="U87">
        <f>INT((O87+R87)/2)</f>
        <v>63</v>
      </c>
      <c r="V87">
        <f>INT((P87+S87)/2)</f>
        <v>0</v>
      </c>
      <c r="W87" t="str">
        <f t="shared" si="6"/>
        <v>003F00</v>
      </c>
      <c r="X87" t="b">
        <f t="shared" si="7"/>
        <v>0</v>
      </c>
      <c r="Y87">
        <f t="shared" si="8"/>
        <v>0</v>
      </c>
    </row>
    <row r="88" spans="9:25" hidden="1">
      <c r="I88">
        <v>95</v>
      </c>
      <c r="J88" s="1">
        <v>0</v>
      </c>
      <c r="K88" s="1">
        <v>4</v>
      </c>
      <c r="L88" s="1">
        <v>0</v>
      </c>
      <c r="M88" s="1">
        <v>1</v>
      </c>
      <c r="N88">
        <f>INT(VLOOKUP($J88,$A$2:$G$6,2,0)*$L88/2)</f>
        <v>0</v>
      </c>
      <c r="O88">
        <f>INT(VLOOKUP($J88,$A$2:$G$6,3,0)*$L88/2)</f>
        <v>0</v>
      </c>
      <c r="P88">
        <f>INT(VLOOKUP($J88,$A$2:$G$6,4,0)*$L88/2)</f>
        <v>0</v>
      </c>
      <c r="Q88">
        <f>INT(VLOOKUP($K88,$A$2:$G$6,2,0)*$M88/2)</f>
        <v>0</v>
      </c>
      <c r="R88">
        <f>INT(VLOOKUP($K88,$A$2:$G$6,3,0)*$M88/2)</f>
        <v>127</v>
      </c>
      <c r="S88">
        <f>INT(VLOOKUP($K88,$A$2:$G$6,4,0)*$M88/2)</f>
        <v>0</v>
      </c>
      <c r="T88">
        <f>INT((N88+Q88)/2)</f>
        <v>0</v>
      </c>
      <c r="U88">
        <f>INT((O88+R88)/2)</f>
        <v>63</v>
      </c>
      <c r="V88">
        <f>INT((P88+S88)/2)</f>
        <v>0</v>
      </c>
      <c r="W88" t="str">
        <f t="shared" si="6"/>
        <v>003F00</v>
      </c>
      <c r="X88" t="b">
        <f t="shared" si="7"/>
        <v>0</v>
      </c>
      <c r="Y88">
        <f t="shared" si="8"/>
        <v>0</v>
      </c>
    </row>
    <row r="89" spans="9:25" hidden="1">
      <c r="I89">
        <v>96</v>
      </c>
      <c r="J89" s="1">
        <v>1</v>
      </c>
      <c r="K89" s="1">
        <v>4</v>
      </c>
      <c r="L89" s="1">
        <v>0</v>
      </c>
      <c r="M89" s="1">
        <v>1</v>
      </c>
      <c r="N89">
        <f>INT(VLOOKUP($J89,$A$2:$G$6,2,0)*$L89/2)</f>
        <v>0</v>
      </c>
      <c r="O89">
        <f>INT(VLOOKUP($J89,$A$2:$G$6,3,0)*$L89/2)</f>
        <v>0</v>
      </c>
      <c r="P89">
        <f>INT(VLOOKUP($J89,$A$2:$G$6,4,0)*$L89/2)</f>
        <v>0</v>
      </c>
      <c r="Q89">
        <f>INT(VLOOKUP($K89,$A$2:$G$6,2,0)*$M89/2)</f>
        <v>0</v>
      </c>
      <c r="R89">
        <f>INT(VLOOKUP($K89,$A$2:$G$6,3,0)*$M89/2)</f>
        <v>127</v>
      </c>
      <c r="S89">
        <f>INT(VLOOKUP($K89,$A$2:$G$6,4,0)*$M89/2)</f>
        <v>0</v>
      </c>
      <c r="T89">
        <f>INT((N89+Q89)/2)</f>
        <v>0</v>
      </c>
      <c r="U89">
        <f>INT((O89+R89)/2)</f>
        <v>63</v>
      </c>
      <c r="V89">
        <f>INT((P89+S89)/2)</f>
        <v>0</v>
      </c>
      <c r="W89" t="str">
        <f t="shared" si="6"/>
        <v>003F00</v>
      </c>
      <c r="X89" t="b">
        <f t="shared" si="7"/>
        <v>0</v>
      </c>
      <c r="Y89">
        <f t="shared" si="8"/>
        <v>0</v>
      </c>
    </row>
    <row r="90" spans="9:25" hidden="1">
      <c r="I90">
        <v>97</v>
      </c>
      <c r="J90" s="1">
        <v>2</v>
      </c>
      <c r="K90" s="1">
        <v>4</v>
      </c>
      <c r="L90" s="1">
        <v>0</v>
      </c>
      <c r="M90" s="1">
        <v>1</v>
      </c>
      <c r="N90">
        <f>INT(VLOOKUP($J90,$A$2:$G$6,2,0)*$L90/2)</f>
        <v>0</v>
      </c>
      <c r="O90">
        <f>INT(VLOOKUP($J90,$A$2:$G$6,3,0)*$L90/2)</f>
        <v>0</v>
      </c>
      <c r="P90">
        <f>INT(VLOOKUP($J90,$A$2:$G$6,4,0)*$L90/2)</f>
        <v>0</v>
      </c>
      <c r="Q90">
        <f>INT(VLOOKUP($K90,$A$2:$G$6,2,0)*$M90/2)</f>
        <v>0</v>
      </c>
      <c r="R90">
        <f>INT(VLOOKUP($K90,$A$2:$G$6,3,0)*$M90/2)</f>
        <v>127</v>
      </c>
      <c r="S90">
        <f>INT(VLOOKUP($K90,$A$2:$G$6,4,0)*$M90/2)</f>
        <v>0</v>
      </c>
      <c r="T90">
        <f>INT((N90+Q90)/2)</f>
        <v>0</v>
      </c>
      <c r="U90">
        <f>INT((O90+R90)/2)</f>
        <v>63</v>
      </c>
      <c r="V90">
        <f>INT((P90+S90)/2)</f>
        <v>0</v>
      </c>
      <c r="W90" t="str">
        <f t="shared" si="6"/>
        <v>003F00</v>
      </c>
      <c r="X90" t="b">
        <f t="shared" si="7"/>
        <v>0</v>
      </c>
      <c r="Y90">
        <f t="shared" si="8"/>
        <v>0</v>
      </c>
    </row>
    <row r="91" spans="9:25" hidden="1">
      <c r="I91">
        <v>98</v>
      </c>
      <c r="J91" s="1">
        <v>3</v>
      </c>
      <c r="K91" s="1">
        <v>4</v>
      </c>
      <c r="L91" s="1">
        <v>0</v>
      </c>
      <c r="M91" s="1">
        <v>1</v>
      </c>
      <c r="N91">
        <f>INT(VLOOKUP($J91,$A$2:$G$6,2,0)*$L91/2)</f>
        <v>0</v>
      </c>
      <c r="O91">
        <f>INT(VLOOKUP($J91,$A$2:$G$6,3,0)*$L91/2)</f>
        <v>0</v>
      </c>
      <c r="P91">
        <f>INT(VLOOKUP($J91,$A$2:$G$6,4,0)*$L91/2)</f>
        <v>0</v>
      </c>
      <c r="Q91">
        <f>INT(VLOOKUP($K91,$A$2:$G$6,2,0)*$M91/2)</f>
        <v>0</v>
      </c>
      <c r="R91">
        <f>INT(VLOOKUP($K91,$A$2:$G$6,3,0)*$M91/2)</f>
        <v>127</v>
      </c>
      <c r="S91">
        <f>INT(VLOOKUP($K91,$A$2:$G$6,4,0)*$M91/2)</f>
        <v>0</v>
      </c>
      <c r="T91">
        <f>INT((N91+Q91)/2)</f>
        <v>0</v>
      </c>
      <c r="U91">
        <f>INT((O91+R91)/2)</f>
        <v>63</v>
      </c>
      <c r="V91">
        <f>INT((P91+S91)/2)</f>
        <v>0</v>
      </c>
      <c r="W91" t="str">
        <f t="shared" si="6"/>
        <v>003F00</v>
      </c>
      <c r="X91" t="b">
        <f t="shared" si="7"/>
        <v>0</v>
      </c>
      <c r="Y91">
        <f t="shared" si="8"/>
        <v>0</v>
      </c>
    </row>
    <row r="92" spans="9:25" hidden="1">
      <c r="I92">
        <v>99</v>
      </c>
      <c r="J92" s="1">
        <v>4</v>
      </c>
      <c r="K92" s="1">
        <v>4</v>
      </c>
      <c r="L92" s="1">
        <v>0</v>
      </c>
      <c r="M92" s="1">
        <v>1</v>
      </c>
      <c r="N92">
        <f>INT(VLOOKUP($J92,$A$2:$G$6,2,0)*$L92/2)</f>
        <v>0</v>
      </c>
      <c r="O92">
        <f>INT(VLOOKUP($J92,$A$2:$G$6,3,0)*$L92/2)</f>
        <v>0</v>
      </c>
      <c r="P92">
        <f>INT(VLOOKUP($J92,$A$2:$G$6,4,0)*$L92/2)</f>
        <v>0</v>
      </c>
      <c r="Q92">
        <f>INT(VLOOKUP($K92,$A$2:$G$6,2,0)*$M92/2)</f>
        <v>0</v>
      </c>
      <c r="R92">
        <f>INT(VLOOKUP($K92,$A$2:$G$6,3,0)*$M92/2)</f>
        <v>127</v>
      </c>
      <c r="S92">
        <f>INT(VLOOKUP($K92,$A$2:$G$6,4,0)*$M92/2)</f>
        <v>0</v>
      </c>
      <c r="T92">
        <f>INT((N92+Q92)/2)</f>
        <v>0</v>
      </c>
      <c r="U92">
        <f>INT((O92+R92)/2)</f>
        <v>63</v>
      </c>
      <c r="V92">
        <f>INT((P92+S92)/2)</f>
        <v>0</v>
      </c>
      <c r="W92" t="str">
        <f t="shared" si="6"/>
        <v>003F00</v>
      </c>
      <c r="X92" t="b">
        <f t="shared" si="7"/>
        <v>0</v>
      </c>
      <c r="Y92">
        <f t="shared" si="8"/>
        <v>0</v>
      </c>
    </row>
    <row r="93" spans="9:25" hidden="1">
      <c r="I93">
        <v>104</v>
      </c>
      <c r="J93" s="1">
        <v>4</v>
      </c>
      <c r="K93" s="1">
        <v>0</v>
      </c>
      <c r="L93" s="1">
        <v>1</v>
      </c>
      <c r="M93" s="1">
        <v>1</v>
      </c>
      <c r="N93">
        <f>INT(VLOOKUP($J93,$A$2:$G$6,2,0)*$L93/2)</f>
        <v>0</v>
      </c>
      <c r="O93">
        <f>INT(VLOOKUP($J93,$A$2:$G$6,3,0)*$L93/2)</f>
        <v>127</v>
      </c>
      <c r="P93">
        <f>INT(VLOOKUP($J93,$A$2:$G$6,4,0)*$L93/2)</f>
        <v>0</v>
      </c>
      <c r="Q93">
        <f>INT(VLOOKUP($K93,$A$2:$G$6,2,0)*$M93/2)</f>
        <v>0</v>
      </c>
      <c r="R93">
        <f>INT(VLOOKUP($K93,$A$2:$G$6,3,0)*$M93/2)</f>
        <v>0</v>
      </c>
      <c r="S93">
        <f>INT(VLOOKUP($K93,$A$2:$G$6,4,0)*$M93/2)</f>
        <v>0</v>
      </c>
      <c r="T93">
        <f>INT((N93+Q93)/2)</f>
        <v>0</v>
      </c>
      <c r="U93">
        <f>INT((O93+R93)/2)</f>
        <v>63</v>
      </c>
      <c r="V93">
        <f>INT((P93+S93)/2)</f>
        <v>0</v>
      </c>
      <c r="W93" t="str">
        <f t="shared" si="6"/>
        <v>003F00</v>
      </c>
      <c r="X93" t="b">
        <f t="shared" si="7"/>
        <v>0</v>
      </c>
      <c r="Y93">
        <f t="shared" si="8"/>
        <v>0</v>
      </c>
    </row>
    <row r="94" spans="9:25" hidden="1">
      <c r="I94">
        <v>120</v>
      </c>
      <c r="J94" s="1">
        <v>0</v>
      </c>
      <c r="K94" s="1">
        <v>4</v>
      </c>
      <c r="L94" s="1">
        <v>1</v>
      </c>
      <c r="M94" s="1">
        <v>1</v>
      </c>
      <c r="N94">
        <f>INT(VLOOKUP($J94,$A$2:$G$6,2,0)*$L94/2)</f>
        <v>0</v>
      </c>
      <c r="O94">
        <f>INT(VLOOKUP($J94,$A$2:$G$6,3,0)*$L94/2)</f>
        <v>0</v>
      </c>
      <c r="P94">
        <f>INT(VLOOKUP($J94,$A$2:$G$6,4,0)*$L94/2)</f>
        <v>0</v>
      </c>
      <c r="Q94">
        <f>INT(VLOOKUP($K94,$A$2:$G$6,2,0)*$M94/2)</f>
        <v>0</v>
      </c>
      <c r="R94">
        <f>INT(VLOOKUP($K94,$A$2:$G$6,3,0)*$M94/2)</f>
        <v>127</v>
      </c>
      <c r="S94">
        <f>INT(VLOOKUP($K94,$A$2:$G$6,4,0)*$M94/2)</f>
        <v>0</v>
      </c>
      <c r="T94">
        <f>INT((N94+Q94)/2)</f>
        <v>0</v>
      </c>
      <c r="U94">
        <f>INT((O94+R94)/2)</f>
        <v>63</v>
      </c>
      <c r="V94">
        <f>INT((P94+S94)/2)</f>
        <v>0</v>
      </c>
      <c r="W94" t="str">
        <f t="shared" si="6"/>
        <v>003F00</v>
      </c>
      <c r="X94" t="b">
        <f t="shared" si="7"/>
        <v>0</v>
      </c>
      <c r="Y94">
        <f t="shared" si="8"/>
        <v>0</v>
      </c>
    </row>
    <row r="95" spans="9:25" hidden="1">
      <c r="I95">
        <v>145</v>
      </c>
      <c r="J95" s="1">
        <v>0</v>
      </c>
      <c r="K95" s="1">
        <v>4</v>
      </c>
      <c r="L95" s="1">
        <v>2</v>
      </c>
      <c r="M95" s="1">
        <v>1</v>
      </c>
      <c r="N95">
        <f>INT(VLOOKUP($J95,$A$2:$G$6,2,0)*$L95/2)</f>
        <v>0</v>
      </c>
      <c r="O95">
        <f>INT(VLOOKUP($J95,$A$2:$G$6,3,0)*$L95/2)</f>
        <v>0</v>
      </c>
      <c r="P95">
        <f>INT(VLOOKUP($J95,$A$2:$G$6,4,0)*$L95/2)</f>
        <v>0</v>
      </c>
      <c r="Q95">
        <f>INT(VLOOKUP($K95,$A$2:$G$6,2,0)*$M95/2)</f>
        <v>0</v>
      </c>
      <c r="R95">
        <f>INT(VLOOKUP($K95,$A$2:$G$6,3,0)*$M95/2)</f>
        <v>127</v>
      </c>
      <c r="S95">
        <f>INT(VLOOKUP($K95,$A$2:$G$6,4,0)*$M95/2)</f>
        <v>0</v>
      </c>
      <c r="T95">
        <f>INT((N95+Q95)/2)</f>
        <v>0</v>
      </c>
      <c r="U95">
        <f>INT((O95+R95)/2)</f>
        <v>63</v>
      </c>
      <c r="V95">
        <f>INT((P95+S95)/2)</f>
        <v>0</v>
      </c>
      <c r="W95" t="str">
        <f t="shared" si="6"/>
        <v>003F00</v>
      </c>
      <c r="X95" t="b">
        <f t="shared" si="7"/>
        <v>0</v>
      </c>
      <c r="Y95">
        <f t="shared" si="8"/>
        <v>0</v>
      </c>
    </row>
    <row r="96" spans="9:25" hidden="1">
      <c r="I96">
        <v>179</v>
      </c>
      <c r="J96" s="1">
        <v>4</v>
      </c>
      <c r="K96" s="1">
        <v>0</v>
      </c>
      <c r="L96" s="1">
        <v>1</v>
      </c>
      <c r="M96" s="1">
        <v>2</v>
      </c>
      <c r="N96">
        <f>INT(VLOOKUP($J96,$A$2:$G$6,2,0)*$L96/2)</f>
        <v>0</v>
      </c>
      <c r="O96">
        <f>INT(VLOOKUP($J96,$A$2:$G$6,3,0)*$L96/2)</f>
        <v>127</v>
      </c>
      <c r="P96">
        <f>INT(VLOOKUP($J96,$A$2:$G$6,4,0)*$L96/2)</f>
        <v>0</v>
      </c>
      <c r="Q96">
        <f>INT(VLOOKUP($K96,$A$2:$G$6,2,0)*$M96/2)</f>
        <v>0</v>
      </c>
      <c r="R96">
        <f>INT(VLOOKUP($K96,$A$2:$G$6,3,0)*$M96/2)</f>
        <v>0</v>
      </c>
      <c r="S96">
        <f>INT(VLOOKUP($K96,$A$2:$G$6,4,0)*$M96/2)</f>
        <v>0</v>
      </c>
      <c r="T96">
        <f>INT((N96+Q96)/2)</f>
        <v>0</v>
      </c>
      <c r="U96">
        <f>INT((O96+R96)/2)</f>
        <v>63</v>
      </c>
      <c r="V96">
        <f>INT((P96+S96)/2)</f>
        <v>0</v>
      </c>
      <c r="W96" t="str">
        <f t="shared" si="6"/>
        <v>003F00</v>
      </c>
      <c r="X96" t="b">
        <f t="shared" si="7"/>
        <v>0</v>
      </c>
      <c r="Y96">
        <f t="shared" si="8"/>
        <v>0</v>
      </c>
    </row>
    <row r="97" spans="9:25" hidden="1">
      <c r="I97">
        <v>54</v>
      </c>
      <c r="J97" s="1">
        <v>4</v>
      </c>
      <c r="K97" s="1">
        <v>0</v>
      </c>
      <c r="L97" s="1">
        <v>2</v>
      </c>
      <c r="M97" s="1">
        <v>0</v>
      </c>
      <c r="N97">
        <f>INT(VLOOKUP($J97,$A$2:$G$6,2,0)*$L97/2)</f>
        <v>0</v>
      </c>
      <c r="O97">
        <f>INT(VLOOKUP($J97,$A$2:$G$6,3,0)*$L97/2)</f>
        <v>255</v>
      </c>
      <c r="P97">
        <f>INT(VLOOKUP($J97,$A$2:$G$6,4,0)*$L97/2)</f>
        <v>0</v>
      </c>
      <c r="Q97">
        <f>INT(VLOOKUP($K97,$A$2:$G$6,2,0)*$M97/2)</f>
        <v>0</v>
      </c>
      <c r="R97">
        <f>INT(VLOOKUP($K97,$A$2:$G$6,3,0)*$M97/2)</f>
        <v>0</v>
      </c>
      <c r="S97">
        <f>INT(VLOOKUP($K97,$A$2:$G$6,4,0)*$M97/2)</f>
        <v>0</v>
      </c>
      <c r="T97">
        <f>INT((N97+Q97)/2)</f>
        <v>0</v>
      </c>
      <c r="U97">
        <f>INT((O97+R97)/2)</f>
        <v>127</v>
      </c>
      <c r="V97">
        <f>INT((P97+S97)/2)</f>
        <v>0</v>
      </c>
      <c r="W97" t="str">
        <f t="shared" si="6"/>
        <v>007F00</v>
      </c>
      <c r="X97" t="b">
        <f t="shared" si="7"/>
        <v>0</v>
      </c>
      <c r="Y97">
        <f t="shared" si="8"/>
        <v>1</v>
      </c>
    </row>
    <row r="98" spans="9:25" hidden="1">
      <c r="I98">
        <v>59</v>
      </c>
      <c r="J98" s="1">
        <v>4</v>
      </c>
      <c r="K98" s="1">
        <v>1</v>
      </c>
      <c r="L98" s="1">
        <v>2</v>
      </c>
      <c r="M98" s="1">
        <v>0</v>
      </c>
      <c r="N98">
        <f>INT(VLOOKUP($J98,$A$2:$G$6,2,0)*$L98/2)</f>
        <v>0</v>
      </c>
      <c r="O98">
        <f>INT(VLOOKUP($J98,$A$2:$G$6,3,0)*$L98/2)</f>
        <v>255</v>
      </c>
      <c r="P98">
        <f>INT(VLOOKUP($J98,$A$2:$G$6,4,0)*$L98/2)</f>
        <v>0</v>
      </c>
      <c r="Q98">
        <f>INT(VLOOKUP($K98,$A$2:$G$6,2,0)*$M98/2)</f>
        <v>0</v>
      </c>
      <c r="R98">
        <f>INT(VLOOKUP($K98,$A$2:$G$6,3,0)*$M98/2)</f>
        <v>0</v>
      </c>
      <c r="S98">
        <f>INT(VLOOKUP($K98,$A$2:$G$6,4,0)*$M98/2)</f>
        <v>0</v>
      </c>
      <c r="T98">
        <f>INT((N98+Q98)/2)</f>
        <v>0</v>
      </c>
      <c r="U98">
        <f>INT((O98+R98)/2)</f>
        <v>127</v>
      </c>
      <c r="V98">
        <f>INT((P98+S98)/2)</f>
        <v>0</v>
      </c>
      <c r="W98" t="str">
        <f t="shared" si="6"/>
        <v>007F00</v>
      </c>
      <c r="X98" t="b">
        <f t="shared" si="7"/>
        <v>0</v>
      </c>
      <c r="Y98">
        <f t="shared" si="8"/>
        <v>0</v>
      </c>
    </row>
    <row r="99" spans="9:25" hidden="1">
      <c r="I99">
        <v>64</v>
      </c>
      <c r="J99" s="1">
        <v>4</v>
      </c>
      <c r="K99" s="1">
        <v>2</v>
      </c>
      <c r="L99" s="1">
        <v>2</v>
      </c>
      <c r="M99" s="1">
        <v>0</v>
      </c>
      <c r="N99">
        <f>INT(VLOOKUP($J99,$A$2:$G$6,2,0)*$L99/2)</f>
        <v>0</v>
      </c>
      <c r="O99">
        <f>INT(VLOOKUP($J99,$A$2:$G$6,3,0)*$L99/2)</f>
        <v>255</v>
      </c>
      <c r="P99">
        <f>INT(VLOOKUP($J99,$A$2:$G$6,4,0)*$L99/2)</f>
        <v>0</v>
      </c>
      <c r="Q99">
        <f>INT(VLOOKUP($K99,$A$2:$G$6,2,0)*$M99/2)</f>
        <v>0</v>
      </c>
      <c r="R99">
        <f>INT(VLOOKUP($K99,$A$2:$G$6,3,0)*$M99/2)</f>
        <v>0</v>
      </c>
      <c r="S99">
        <f>INT(VLOOKUP($K99,$A$2:$G$6,4,0)*$M99/2)</f>
        <v>0</v>
      </c>
      <c r="T99">
        <f>INT((N99+Q99)/2)</f>
        <v>0</v>
      </c>
      <c r="U99">
        <f>INT((O99+R99)/2)</f>
        <v>127</v>
      </c>
      <c r="V99">
        <f>INT((P99+S99)/2)</f>
        <v>0</v>
      </c>
      <c r="W99" t="str">
        <f t="shared" si="6"/>
        <v>007F00</v>
      </c>
      <c r="X99" t="b">
        <f t="shared" si="7"/>
        <v>0</v>
      </c>
      <c r="Y99">
        <f t="shared" si="8"/>
        <v>0</v>
      </c>
    </row>
    <row r="100" spans="9:25" hidden="1">
      <c r="I100">
        <v>69</v>
      </c>
      <c r="J100" s="1">
        <v>4</v>
      </c>
      <c r="K100" s="1">
        <v>3</v>
      </c>
      <c r="L100" s="1">
        <v>2</v>
      </c>
      <c r="M100" s="1">
        <v>0</v>
      </c>
      <c r="N100">
        <f>INT(VLOOKUP($J100,$A$2:$G$6,2,0)*$L100/2)</f>
        <v>0</v>
      </c>
      <c r="O100">
        <f>INT(VLOOKUP($J100,$A$2:$G$6,3,0)*$L100/2)</f>
        <v>255</v>
      </c>
      <c r="P100">
        <f>INT(VLOOKUP($J100,$A$2:$G$6,4,0)*$L100/2)</f>
        <v>0</v>
      </c>
      <c r="Q100">
        <f>INT(VLOOKUP($K100,$A$2:$G$6,2,0)*$M100/2)</f>
        <v>0</v>
      </c>
      <c r="R100">
        <f>INT(VLOOKUP($K100,$A$2:$G$6,3,0)*$M100/2)</f>
        <v>0</v>
      </c>
      <c r="S100">
        <f>INT(VLOOKUP($K100,$A$2:$G$6,4,0)*$M100/2)</f>
        <v>0</v>
      </c>
      <c r="T100">
        <f>INT((N100+Q100)/2)</f>
        <v>0</v>
      </c>
      <c r="U100">
        <f>INT((O100+R100)/2)</f>
        <v>127</v>
      </c>
      <c r="V100">
        <f>INT((P100+S100)/2)</f>
        <v>0</v>
      </c>
      <c r="W100" t="str">
        <f t="shared" si="6"/>
        <v>007F00</v>
      </c>
      <c r="X100" t="b">
        <f t="shared" si="7"/>
        <v>0</v>
      </c>
      <c r="Y100">
        <f t="shared" si="8"/>
        <v>0</v>
      </c>
    </row>
    <row r="101" spans="9:25" hidden="1">
      <c r="I101">
        <v>74</v>
      </c>
      <c r="J101" s="1">
        <v>4</v>
      </c>
      <c r="K101" s="1">
        <v>4</v>
      </c>
      <c r="L101" s="1">
        <v>2</v>
      </c>
      <c r="M101" s="1">
        <v>0</v>
      </c>
      <c r="N101">
        <f>INT(VLOOKUP($J101,$A$2:$G$6,2,0)*$L101/2)</f>
        <v>0</v>
      </c>
      <c r="O101">
        <f>INT(VLOOKUP($J101,$A$2:$G$6,3,0)*$L101/2)</f>
        <v>255</v>
      </c>
      <c r="P101">
        <f>INT(VLOOKUP($J101,$A$2:$G$6,4,0)*$L101/2)</f>
        <v>0</v>
      </c>
      <c r="Q101">
        <f>INT(VLOOKUP($K101,$A$2:$G$6,2,0)*$M101/2)</f>
        <v>0</v>
      </c>
      <c r="R101">
        <f>INT(VLOOKUP($K101,$A$2:$G$6,3,0)*$M101/2)</f>
        <v>0</v>
      </c>
      <c r="S101">
        <f>INT(VLOOKUP($K101,$A$2:$G$6,4,0)*$M101/2)</f>
        <v>0</v>
      </c>
      <c r="T101">
        <f>INT((N101+Q101)/2)</f>
        <v>0</v>
      </c>
      <c r="U101">
        <f>INT((O101+R101)/2)</f>
        <v>127</v>
      </c>
      <c r="V101">
        <f>INT((P101+S101)/2)</f>
        <v>0</v>
      </c>
      <c r="W101" t="str">
        <f t="shared" si="6"/>
        <v>007F00</v>
      </c>
      <c r="X101" t="b">
        <f t="shared" si="7"/>
        <v>0</v>
      </c>
      <c r="Y101">
        <f t="shared" si="8"/>
        <v>0</v>
      </c>
    </row>
    <row r="102" spans="9:25">
      <c r="I102">
        <v>124</v>
      </c>
      <c r="J102" s="1">
        <v>4</v>
      </c>
      <c r="K102" s="1">
        <v>4</v>
      </c>
      <c r="L102" s="1">
        <v>1</v>
      </c>
      <c r="M102" s="1">
        <v>1</v>
      </c>
      <c r="N102">
        <f>INT(VLOOKUP($J102,$A$2:$G$6,2,0)*$L102/2)</f>
        <v>0</v>
      </c>
      <c r="O102">
        <f>INT(VLOOKUP($J102,$A$2:$G$6,3,0)*$L102/2)</f>
        <v>127</v>
      </c>
      <c r="P102">
        <f>INT(VLOOKUP($J102,$A$2:$G$6,4,0)*$L102/2)</f>
        <v>0</v>
      </c>
      <c r="Q102">
        <f>INT(VLOOKUP($K102,$A$2:$G$6,2,0)*$M102/2)</f>
        <v>0</v>
      </c>
      <c r="R102">
        <f>INT(VLOOKUP($K102,$A$2:$G$6,3,0)*$M102/2)</f>
        <v>127</v>
      </c>
      <c r="S102">
        <f>INT(VLOOKUP($K102,$A$2:$G$6,4,0)*$M102/2)</f>
        <v>0</v>
      </c>
      <c r="T102">
        <f>INT((N102+Q102)/2)</f>
        <v>0</v>
      </c>
      <c r="U102">
        <f>INT((O102+R102)/2)</f>
        <v>127</v>
      </c>
      <c r="V102">
        <f>INT((P102+S102)/2)</f>
        <v>0</v>
      </c>
      <c r="W102" t="str">
        <f t="shared" si="6"/>
        <v>007F00</v>
      </c>
      <c r="X102" t="b">
        <f t="shared" si="7"/>
        <v>1</v>
      </c>
      <c r="Y102">
        <f t="shared" si="8"/>
        <v>0</v>
      </c>
    </row>
    <row r="103" spans="9:25" hidden="1">
      <c r="I103">
        <v>129</v>
      </c>
      <c r="J103" s="1">
        <v>4</v>
      </c>
      <c r="K103" s="1">
        <v>0</v>
      </c>
      <c r="L103" s="1">
        <v>2</v>
      </c>
      <c r="M103" s="1">
        <v>1</v>
      </c>
      <c r="N103">
        <f>INT(VLOOKUP($J103,$A$2:$G$6,2,0)*$L103/2)</f>
        <v>0</v>
      </c>
      <c r="O103">
        <f>INT(VLOOKUP($J103,$A$2:$G$6,3,0)*$L103/2)</f>
        <v>255</v>
      </c>
      <c r="P103">
        <f>INT(VLOOKUP($J103,$A$2:$G$6,4,0)*$L103/2)</f>
        <v>0</v>
      </c>
      <c r="Q103">
        <f>INT(VLOOKUP($K103,$A$2:$G$6,2,0)*$M103/2)</f>
        <v>0</v>
      </c>
      <c r="R103">
        <f>INT(VLOOKUP($K103,$A$2:$G$6,3,0)*$M103/2)</f>
        <v>0</v>
      </c>
      <c r="S103">
        <f>INT(VLOOKUP($K103,$A$2:$G$6,4,0)*$M103/2)</f>
        <v>0</v>
      </c>
      <c r="T103">
        <f>INT((N103+Q103)/2)</f>
        <v>0</v>
      </c>
      <c r="U103">
        <f>INT((O103+R103)/2)</f>
        <v>127</v>
      </c>
      <c r="V103">
        <f>INT((P103+S103)/2)</f>
        <v>0</v>
      </c>
      <c r="W103" t="str">
        <f t="shared" si="6"/>
        <v>007F00</v>
      </c>
      <c r="X103" t="b">
        <f t="shared" si="7"/>
        <v>0</v>
      </c>
      <c r="Y103">
        <f t="shared" si="8"/>
        <v>0</v>
      </c>
    </row>
    <row r="104" spans="9:25" hidden="1">
      <c r="I104">
        <v>170</v>
      </c>
      <c r="J104" s="1">
        <v>0</v>
      </c>
      <c r="K104" s="1">
        <v>4</v>
      </c>
      <c r="L104" s="1">
        <v>0</v>
      </c>
      <c r="M104" s="1">
        <v>2</v>
      </c>
      <c r="N104">
        <f>INT(VLOOKUP($J104,$A$2:$G$6,2,0)*$L104/2)</f>
        <v>0</v>
      </c>
      <c r="O104">
        <f>INT(VLOOKUP($J104,$A$2:$G$6,3,0)*$L104/2)</f>
        <v>0</v>
      </c>
      <c r="P104">
        <f>INT(VLOOKUP($J104,$A$2:$G$6,4,0)*$L104/2)</f>
        <v>0</v>
      </c>
      <c r="Q104">
        <f>INT(VLOOKUP($K104,$A$2:$G$6,2,0)*$M104/2)</f>
        <v>0</v>
      </c>
      <c r="R104">
        <f>INT(VLOOKUP($K104,$A$2:$G$6,3,0)*$M104/2)</f>
        <v>255</v>
      </c>
      <c r="S104">
        <f>INT(VLOOKUP($K104,$A$2:$G$6,4,0)*$M104/2)</f>
        <v>0</v>
      </c>
      <c r="T104">
        <f>INT((N104+Q104)/2)</f>
        <v>0</v>
      </c>
      <c r="U104">
        <f>INT((O104+R104)/2)</f>
        <v>127</v>
      </c>
      <c r="V104">
        <f>INT((P104+S104)/2)</f>
        <v>0</v>
      </c>
      <c r="W104" t="str">
        <f t="shared" si="6"/>
        <v>007F00</v>
      </c>
      <c r="X104" t="b">
        <f t="shared" si="7"/>
        <v>0</v>
      </c>
      <c r="Y104">
        <f t="shared" si="8"/>
        <v>0</v>
      </c>
    </row>
    <row r="105" spans="9:25" hidden="1">
      <c r="I105">
        <v>171</v>
      </c>
      <c r="J105" s="1">
        <v>1</v>
      </c>
      <c r="K105" s="1">
        <v>4</v>
      </c>
      <c r="L105" s="1">
        <v>0</v>
      </c>
      <c r="M105" s="1">
        <v>2</v>
      </c>
      <c r="N105">
        <f>INT(VLOOKUP($J105,$A$2:$G$6,2,0)*$L105/2)</f>
        <v>0</v>
      </c>
      <c r="O105">
        <f>INT(VLOOKUP($J105,$A$2:$G$6,3,0)*$L105/2)</f>
        <v>0</v>
      </c>
      <c r="P105">
        <f>INT(VLOOKUP($J105,$A$2:$G$6,4,0)*$L105/2)</f>
        <v>0</v>
      </c>
      <c r="Q105">
        <f>INT(VLOOKUP($K105,$A$2:$G$6,2,0)*$M105/2)</f>
        <v>0</v>
      </c>
      <c r="R105">
        <f>INT(VLOOKUP($K105,$A$2:$G$6,3,0)*$M105/2)</f>
        <v>255</v>
      </c>
      <c r="S105">
        <f>INT(VLOOKUP($K105,$A$2:$G$6,4,0)*$M105/2)</f>
        <v>0</v>
      </c>
      <c r="T105">
        <f>INT((N105+Q105)/2)</f>
        <v>0</v>
      </c>
      <c r="U105">
        <f>INT((O105+R105)/2)</f>
        <v>127</v>
      </c>
      <c r="V105">
        <f>INT((P105+S105)/2)</f>
        <v>0</v>
      </c>
      <c r="W105" t="str">
        <f t="shared" si="6"/>
        <v>007F00</v>
      </c>
      <c r="X105" t="b">
        <f t="shared" si="7"/>
        <v>0</v>
      </c>
      <c r="Y105">
        <f t="shared" si="8"/>
        <v>0</v>
      </c>
    </row>
    <row r="106" spans="9:25" hidden="1">
      <c r="I106">
        <v>172</v>
      </c>
      <c r="J106" s="1">
        <v>2</v>
      </c>
      <c r="K106" s="1">
        <v>4</v>
      </c>
      <c r="L106" s="1">
        <v>0</v>
      </c>
      <c r="M106" s="1">
        <v>2</v>
      </c>
      <c r="N106">
        <f>INT(VLOOKUP($J106,$A$2:$G$6,2,0)*$L106/2)</f>
        <v>0</v>
      </c>
      <c r="O106">
        <f>INT(VLOOKUP($J106,$A$2:$G$6,3,0)*$L106/2)</f>
        <v>0</v>
      </c>
      <c r="P106">
        <f>INT(VLOOKUP($J106,$A$2:$G$6,4,0)*$L106/2)</f>
        <v>0</v>
      </c>
      <c r="Q106">
        <f>INT(VLOOKUP($K106,$A$2:$G$6,2,0)*$M106/2)</f>
        <v>0</v>
      </c>
      <c r="R106">
        <f>INT(VLOOKUP($K106,$A$2:$G$6,3,0)*$M106/2)</f>
        <v>255</v>
      </c>
      <c r="S106">
        <f>INT(VLOOKUP($K106,$A$2:$G$6,4,0)*$M106/2)</f>
        <v>0</v>
      </c>
      <c r="T106">
        <f>INT((N106+Q106)/2)</f>
        <v>0</v>
      </c>
      <c r="U106">
        <f>INT((O106+R106)/2)</f>
        <v>127</v>
      </c>
      <c r="V106">
        <f>INT((P106+S106)/2)</f>
        <v>0</v>
      </c>
      <c r="W106" t="str">
        <f t="shared" si="6"/>
        <v>007F00</v>
      </c>
      <c r="X106" t="b">
        <f t="shared" si="7"/>
        <v>0</v>
      </c>
      <c r="Y106">
        <f t="shared" si="8"/>
        <v>0</v>
      </c>
    </row>
    <row r="107" spans="9:25" hidden="1">
      <c r="I107">
        <v>173</v>
      </c>
      <c r="J107" s="1">
        <v>3</v>
      </c>
      <c r="K107" s="1">
        <v>4</v>
      </c>
      <c r="L107" s="1">
        <v>0</v>
      </c>
      <c r="M107" s="1">
        <v>2</v>
      </c>
      <c r="N107">
        <f>INT(VLOOKUP($J107,$A$2:$G$6,2,0)*$L107/2)</f>
        <v>0</v>
      </c>
      <c r="O107">
        <f>INT(VLOOKUP($J107,$A$2:$G$6,3,0)*$L107/2)</f>
        <v>0</v>
      </c>
      <c r="P107">
        <f>INT(VLOOKUP($J107,$A$2:$G$6,4,0)*$L107/2)</f>
        <v>0</v>
      </c>
      <c r="Q107">
        <f>INT(VLOOKUP($K107,$A$2:$G$6,2,0)*$M107/2)</f>
        <v>0</v>
      </c>
      <c r="R107">
        <f>INT(VLOOKUP($K107,$A$2:$G$6,3,0)*$M107/2)</f>
        <v>255</v>
      </c>
      <c r="S107">
        <f>INT(VLOOKUP($K107,$A$2:$G$6,4,0)*$M107/2)</f>
        <v>0</v>
      </c>
      <c r="T107">
        <f>INT((N107+Q107)/2)</f>
        <v>0</v>
      </c>
      <c r="U107">
        <f>INT((O107+R107)/2)</f>
        <v>127</v>
      </c>
      <c r="V107">
        <f>INT((P107+S107)/2)</f>
        <v>0</v>
      </c>
      <c r="W107" t="str">
        <f t="shared" si="6"/>
        <v>007F00</v>
      </c>
      <c r="X107" t="b">
        <f t="shared" si="7"/>
        <v>0</v>
      </c>
      <c r="Y107">
        <f t="shared" si="8"/>
        <v>0</v>
      </c>
    </row>
    <row r="108" spans="9:25" hidden="1">
      <c r="I108">
        <v>174</v>
      </c>
      <c r="J108" s="1">
        <v>4</v>
      </c>
      <c r="K108" s="1">
        <v>4</v>
      </c>
      <c r="L108" s="1">
        <v>0</v>
      </c>
      <c r="M108" s="1">
        <v>2</v>
      </c>
      <c r="N108">
        <f>INT(VLOOKUP($J108,$A$2:$G$6,2,0)*$L108/2)</f>
        <v>0</v>
      </c>
      <c r="O108">
        <f>INT(VLOOKUP($J108,$A$2:$G$6,3,0)*$L108/2)</f>
        <v>0</v>
      </c>
      <c r="P108">
        <f>INT(VLOOKUP($J108,$A$2:$G$6,4,0)*$L108/2)</f>
        <v>0</v>
      </c>
      <c r="Q108">
        <f>INT(VLOOKUP($K108,$A$2:$G$6,2,0)*$M108/2)</f>
        <v>0</v>
      </c>
      <c r="R108">
        <f>INT(VLOOKUP($K108,$A$2:$G$6,3,0)*$M108/2)</f>
        <v>255</v>
      </c>
      <c r="S108">
        <f>INT(VLOOKUP($K108,$A$2:$G$6,4,0)*$M108/2)</f>
        <v>0</v>
      </c>
      <c r="T108">
        <f>INT((N108+Q108)/2)</f>
        <v>0</v>
      </c>
      <c r="U108">
        <f>INT((O108+R108)/2)</f>
        <v>127</v>
      </c>
      <c r="V108">
        <f>INT((P108+S108)/2)</f>
        <v>0</v>
      </c>
      <c r="W108" t="str">
        <f t="shared" si="6"/>
        <v>007F00</v>
      </c>
      <c r="X108" t="b">
        <f t="shared" si="7"/>
        <v>0</v>
      </c>
      <c r="Y108">
        <f t="shared" si="8"/>
        <v>0</v>
      </c>
    </row>
    <row r="109" spans="9:25" hidden="1">
      <c r="I109">
        <v>195</v>
      </c>
      <c r="J109" s="1">
        <v>0</v>
      </c>
      <c r="K109" s="1">
        <v>4</v>
      </c>
      <c r="L109" s="1">
        <v>1</v>
      </c>
      <c r="M109" s="1">
        <v>2</v>
      </c>
      <c r="N109">
        <f>INT(VLOOKUP($J109,$A$2:$G$6,2,0)*$L109/2)</f>
        <v>0</v>
      </c>
      <c r="O109">
        <f>INT(VLOOKUP($J109,$A$2:$G$6,3,0)*$L109/2)</f>
        <v>0</v>
      </c>
      <c r="P109">
        <f>INT(VLOOKUP($J109,$A$2:$G$6,4,0)*$L109/2)</f>
        <v>0</v>
      </c>
      <c r="Q109">
        <f>INT(VLOOKUP($K109,$A$2:$G$6,2,0)*$M109/2)</f>
        <v>0</v>
      </c>
      <c r="R109">
        <f>INT(VLOOKUP($K109,$A$2:$G$6,3,0)*$M109/2)</f>
        <v>255</v>
      </c>
      <c r="S109">
        <f>INT(VLOOKUP($K109,$A$2:$G$6,4,0)*$M109/2)</f>
        <v>0</v>
      </c>
      <c r="T109">
        <f>INT((N109+Q109)/2)</f>
        <v>0</v>
      </c>
      <c r="U109">
        <f>INT((O109+R109)/2)</f>
        <v>127</v>
      </c>
      <c r="V109">
        <f>INT((P109+S109)/2)</f>
        <v>0</v>
      </c>
      <c r="W109" t="str">
        <f t="shared" si="6"/>
        <v>007F00</v>
      </c>
      <c r="X109" t="b">
        <f t="shared" si="7"/>
        <v>0</v>
      </c>
      <c r="Y109">
        <f t="shared" si="8"/>
        <v>0</v>
      </c>
    </row>
    <row r="110" spans="9:25" hidden="1">
      <c r="I110">
        <v>204</v>
      </c>
      <c r="J110" s="1">
        <v>4</v>
      </c>
      <c r="K110" s="1">
        <v>0</v>
      </c>
      <c r="L110" s="1">
        <v>2</v>
      </c>
      <c r="M110" s="1">
        <v>2</v>
      </c>
      <c r="N110">
        <f>INT(VLOOKUP($J110,$A$2:$G$6,2,0)*$L110/2)</f>
        <v>0</v>
      </c>
      <c r="O110">
        <f>INT(VLOOKUP($J110,$A$2:$G$6,3,0)*$L110/2)</f>
        <v>255</v>
      </c>
      <c r="P110">
        <f>INT(VLOOKUP($J110,$A$2:$G$6,4,0)*$L110/2)</f>
        <v>0</v>
      </c>
      <c r="Q110">
        <f>INT(VLOOKUP($K110,$A$2:$G$6,2,0)*$M110/2)</f>
        <v>0</v>
      </c>
      <c r="R110">
        <f>INT(VLOOKUP($K110,$A$2:$G$6,3,0)*$M110/2)</f>
        <v>0</v>
      </c>
      <c r="S110">
        <f>INT(VLOOKUP($K110,$A$2:$G$6,4,0)*$M110/2)</f>
        <v>0</v>
      </c>
      <c r="T110">
        <f>INT((N110+Q110)/2)</f>
        <v>0</v>
      </c>
      <c r="U110">
        <f>INT((O110+R110)/2)</f>
        <v>127</v>
      </c>
      <c r="V110">
        <f>INT((P110+S110)/2)</f>
        <v>0</v>
      </c>
      <c r="W110" t="str">
        <f t="shared" si="6"/>
        <v>007F00</v>
      </c>
      <c r="X110" t="b">
        <f t="shared" si="7"/>
        <v>0</v>
      </c>
      <c r="Y110">
        <f t="shared" si="8"/>
        <v>0</v>
      </c>
    </row>
    <row r="111" spans="9:25" hidden="1">
      <c r="I111">
        <v>220</v>
      </c>
      <c r="J111" s="1">
        <v>0</v>
      </c>
      <c r="K111" s="1">
        <v>4</v>
      </c>
      <c r="L111" s="1">
        <v>2</v>
      </c>
      <c r="M111" s="1">
        <v>2</v>
      </c>
      <c r="N111">
        <f>INT(VLOOKUP($J111,$A$2:$G$6,2,0)*$L111/2)</f>
        <v>0</v>
      </c>
      <c r="O111">
        <f>INT(VLOOKUP($J111,$A$2:$G$6,3,0)*$L111/2)</f>
        <v>0</v>
      </c>
      <c r="P111">
        <f>INT(VLOOKUP($J111,$A$2:$G$6,4,0)*$L111/2)</f>
        <v>0</v>
      </c>
      <c r="Q111">
        <f>INT(VLOOKUP($K111,$A$2:$G$6,2,0)*$M111/2)</f>
        <v>0</v>
      </c>
      <c r="R111">
        <f>INT(VLOOKUP($K111,$A$2:$G$6,3,0)*$M111/2)</f>
        <v>255</v>
      </c>
      <c r="S111">
        <f>INT(VLOOKUP($K111,$A$2:$G$6,4,0)*$M111/2)</f>
        <v>0</v>
      </c>
      <c r="T111">
        <f>INT((N111+Q111)/2)</f>
        <v>0</v>
      </c>
      <c r="U111">
        <f>INT((O111+R111)/2)</f>
        <v>127</v>
      </c>
      <c r="V111">
        <f>INT((P111+S111)/2)</f>
        <v>0</v>
      </c>
      <c r="W111" t="str">
        <f t="shared" si="6"/>
        <v>007F00</v>
      </c>
      <c r="X111" t="b">
        <f t="shared" si="7"/>
        <v>0</v>
      </c>
      <c r="Y111">
        <f t="shared" si="8"/>
        <v>0</v>
      </c>
    </row>
    <row r="112" spans="9:25" hidden="1">
      <c r="I112">
        <v>149</v>
      </c>
      <c r="J112" s="1">
        <v>4</v>
      </c>
      <c r="K112" s="1">
        <v>4</v>
      </c>
      <c r="L112" s="1">
        <v>2</v>
      </c>
      <c r="M112" s="1">
        <v>1</v>
      </c>
      <c r="N112">
        <f>INT(VLOOKUP($J112,$A$2:$G$6,2,0)*$L112/2)</f>
        <v>0</v>
      </c>
      <c r="O112">
        <f>INT(VLOOKUP($J112,$A$2:$G$6,3,0)*$L112/2)</f>
        <v>255</v>
      </c>
      <c r="P112">
        <f>INT(VLOOKUP($J112,$A$2:$G$6,4,0)*$L112/2)</f>
        <v>0</v>
      </c>
      <c r="Q112">
        <f>INT(VLOOKUP($K112,$A$2:$G$6,2,0)*$M112/2)</f>
        <v>0</v>
      </c>
      <c r="R112">
        <f>INT(VLOOKUP($K112,$A$2:$G$6,3,0)*$M112/2)</f>
        <v>127</v>
      </c>
      <c r="S112">
        <f>INT(VLOOKUP($K112,$A$2:$G$6,4,0)*$M112/2)</f>
        <v>0</v>
      </c>
      <c r="T112">
        <f>INT((N112+Q112)/2)</f>
        <v>0</v>
      </c>
      <c r="U112">
        <f>INT((O112+R112)/2)</f>
        <v>191</v>
      </c>
      <c r="V112">
        <f>INT((P112+S112)/2)</f>
        <v>0</v>
      </c>
      <c r="W112" t="str">
        <f t="shared" si="6"/>
        <v>00BF00</v>
      </c>
      <c r="X112" t="b">
        <f t="shared" si="7"/>
        <v>0</v>
      </c>
      <c r="Y112">
        <f t="shared" si="8"/>
        <v>1</v>
      </c>
    </row>
    <row r="113" spans="9:25" hidden="1">
      <c r="I113">
        <v>199</v>
      </c>
      <c r="J113" s="1">
        <v>4</v>
      </c>
      <c r="K113" s="1">
        <v>4</v>
      </c>
      <c r="L113" s="1">
        <v>1</v>
      </c>
      <c r="M113" s="1">
        <v>2</v>
      </c>
      <c r="N113">
        <f>INT(VLOOKUP($J113,$A$2:$G$6,2,0)*$L113/2)</f>
        <v>0</v>
      </c>
      <c r="O113">
        <f>INT(VLOOKUP($J113,$A$2:$G$6,3,0)*$L113/2)</f>
        <v>127</v>
      </c>
      <c r="P113">
        <f>INT(VLOOKUP($J113,$A$2:$G$6,4,0)*$L113/2)</f>
        <v>0</v>
      </c>
      <c r="Q113">
        <f>INT(VLOOKUP($K113,$A$2:$G$6,2,0)*$M113/2)</f>
        <v>0</v>
      </c>
      <c r="R113">
        <f>INT(VLOOKUP($K113,$A$2:$G$6,3,0)*$M113/2)</f>
        <v>255</v>
      </c>
      <c r="S113">
        <f>INT(VLOOKUP($K113,$A$2:$G$6,4,0)*$M113/2)</f>
        <v>0</v>
      </c>
      <c r="T113">
        <f>INT((N113+Q113)/2)</f>
        <v>0</v>
      </c>
      <c r="U113">
        <f>INT((O113+R113)/2)</f>
        <v>191</v>
      </c>
      <c r="V113">
        <f>INT((P113+S113)/2)</f>
        <v>0</v>
      </c>
      <c r="W113" t="str">
        <f t="shared" si="6"/>
        <v>00BF00</v>
      </c>
      <c r="X113" t="b">
        <f t="shared" si="7"/>
        <v>0</v>
      </c>
      <c r="Y113">
        <f t="shared" si="8"/>
        <v>0</v>
      </c>
    </row>
    <row r="114" spans="9:25" hidden="1">
      <c r="I114">
        <v>224</v>
      </c>
      <c r="J114" s="1">
        <v>4</v>
      </c>
      <c r="K114" s="1">
        <v>4</v>
      </c>
      <c r="L114" s="1">
        <v>2</v>
      </c>
      <c r="M114" s="1">
        <v>2</v>
      </c>
      <c r="N114">
        <f>INT(VLOOKUP($J114,$A$2:$G$6,2,0)*$L114/2)</f>
        <v>0</v>
      </c>
      <c r="O114">
        <f>INT(VLOOKUP($J114,$A$2:$G$6,3,0)*$L114/2)</f>
        <v>255</v>
      </c>
      <c r="P114">
        <f>INT(VLOOKUP($J114,$A$2:$G$6,4,0)*$L114/2)</f>
        <v>0</v>
      </c>
      <c r="Q114">
        <f>INT(VLOOKUP($K114,$A$2:$G$6,2,0)*$M114/2)</f>
        <v>0</v>
      </c>
      <c r="R114">
        <f>INT(VLOOKUP($K114,$A$2:$G$6,3,0)*$M114/2)</f>
        <v>255</v>
      </c>
      <c r="S114">
        <f>INT(VLOOKUP($K114,$A$2:$G$6,4,0)*$M114/2)</f>
        <v>0</v>
      </c>
      <c r="T114">
        <f>INT((N114+Q114)/2)</f>
        <v>0</v>
      </c>
      <c r="U114">
        <f>INT((O114+R114)/2)</f>
        <v>255</v>
      </c>
      <c r="V114">
        <f>INT((P114+S114)/2)</f>
        <v>0</v>
      </c>
      <c r="W114" t="str">
        <f t="shared" si="6"/>
        <v>00FF00</v>
      </c>
      <c r="X114" t="b">
        <f t="shared" si="7"/>
        <v>0</v>
      </c>
      <c r="Y114">
        <f t="shared" si="8"/>
        <v>1</v>
      </c>
    </row>
    <row r="115" spans="9:25" hidden="1">
      <c r="I115">
        <v>27</v>
      </c>
      <c r="J115" s="1">
        <v>2</v>
      </c>
      <c r="K115" s="1">
        <v>0</v>
      </c>
      <c r="L115" s="1">
        <v>1</v>
      </c>
      <c r="M115" s="1">
        <v>0</v>
      </c>
      <c r="N115">
        <f>INT(VLOOKUP($J115,$A$2:$G$6,2,0)*$L115/2)</f>
        <v>127</v>
      </c>
      <c r="O115">
        <f>INT(VLOOKUP($J115,$A$2:$G$6,3,0)*$L115/2)</f>
        <v>0</v>
      </c>
      <c r="P115">
        <f>INT(VLOOKUP($J115,$A$2:$G$6,4,0)*$L115/2)</f>
        <v>0</v>
      </c>
      <c r="Q115">
        <f>INT(VLOOKUP($K115,$A$2:$G$6,2,0)*$M115/2)</f>
        <v>0</v>
      </c>
      <c r="R115">
        <f>INT(VLOOKUP($K115,$A$2:$G$6,3,0)*$M115/2)</f>
        <v>0</v>
      </c>
      <c r="S115">
        <f>INT(VLOOKUP($K115,$A$2:$G$6,4,0)*$M115/2)</f>
        <v>0</v>
      </c>
      <c r="T115">
        <f>INT((N115+Q115)/2)</f>
        <v>63</v>
      </c>
      <c r="U115">
        <f>INT((O115+R115)/2)</f>
        <v>0</v>
      </c>
      <c r="V115">
        <f>INT((P115+S115)/2)</f>
        <v>0</v>
      </c>
      <c r="W115" t="str">
        <f t="shared" si="6"/>
        <v>3F0000</v>
      </c>
      <c r="X115" t="b">
        <f t="shared" si="7"/>
        <v>0</v>
      </c>
      <c r="Y115">
        <f t="shared" si="8"/>
        <v>1</v>
      </c>
    </row>
    <row r="116" spans="9:25" hidden="1">
      <c r="I116">
        <v>32</v>
      </c>
      <c r="J116" s="1">
        <v>2</v>
      </c>
      <c r="K116" s="1">
        <v>1</v>
      </c>
      <c r="L116" s="1">
        <v>1</v>
      </c>
      <c r="M116" s="1">
        <v>0</v>
      </c>
      <c r="N116">
        <f>INT(VLOOKUP($J116,$A$2:$G$6,2,0)*$L116/2)</f>
        <v>127</v>
      </c>
      <c r="O116">
        <f>INT(VLOOKUP($J116,$A$2:$G$6,3,0)*$L116/2)</f>
        <v>0</v>
      </c>
      <c r="P116">
        <f>INT(VLOOKUP($J116,$A$2:$G$6,4,0)*$L116/2)</f>
        <v>0</v>
      </c>
      <c r="Q116">
        <f>INT(VLOOKUP($K116,$A$2:$G$6,2,0)*$M116/2)</f>
        <v>0</v>
      </c>
      <c r="R116">
        <f>INT(VLOOKUP($K116,$A$2:$G$6,3,0)*$M116/2)</f>
        <v>0</v>
      </c>
      <c r="S116">
        <f>INT(VLOOKUP($K116,$A$2:$G$6,4,0)*$M116/2)</f>
        <v>0</v>
      </c>
      <c r="T116">
        <f>INT((N116+Q116)/2)</f>
        <v>63</v>
      </c>
      <c r="U116">
        <f>INT((O116+R116)/2)</f>
        <v>0</v>
      </c>
      <c r="V116">
        <f>INT((P116+S116)/2)</f>
        <v>0</v>
      </c>
      <c r="W116" t="str">
        <f t="shared" si="6"/>
        <v>3F0000</v>
      </c>
      <c r="X116" t="b">
        <f t="shared" si="7"/>
        <v>0</v>
      </c>
      <c r="Y116">
        <f t="shared" si="8"/>
        <v>0</v>
      </c>
    </row>
    <row r="117" spans="9:25" hidden="1">
      <c r="I117">
        <v>37</v>
      </c>
      <c r="J117" s="1">
        <v>2</v>
      </c>
      <c r="K117" s="1">
        <v>2</v>
      </c>
      <c r="L117" s="1">
        <v>1</v>
      </c>
      <c r="M117" s="1">
        <v>0</v>
      </c>
      <c r="N117">
        <f>INT(VLOOKUP($J117,$A$2:$G$6,2,0)*$L117/2)</f>
        <v>127</v>
      </c>
      <c r="O117">
        <f>INT(VLOOKUP($J117,$A$2:$G$6,3,0)*$L117/2)</f>
        <v>0</v>
      </c>
      <c r="P117">
        <f>INT(VLOOKUP($J117,$A$2:$G$6,4,0)*$L117/2)</f>
        <v>0</v>
      </c>
      <c r="Q117">
        <f>INT(VLOOKUP($K117,$A$2:$G$6,2,0)*$M117/2)</f>
        <v>0</v>
      </c>
      <c r="R117">
        <f>INT(VLOOKUP($K117,$A$2:$G$6,3,0)*$M117/2)</f>
        <v>0</v>
      </c>
      <c r="S117">
        <f>INT(VLOOKUP($K117,$A$2:$G$6,4,0)*$M117/2)</f>
        <v>0</v>
      </c>
      <c r="T117">
        <f>INT((N117+Q117)/2)</f>
        <v>63</v>
      </c>
      <c r="U117">
        <f>INT((O117+R117)/2)</f>
        <v>0</v>
      </c>
      <c r="V117">
        <f>INT((P117+S117)/2)</f>
        <v>0</v>
      </c>
      <c r="W117" t="str">
        <f t="shared" si="6"/>
        <v>3F0000</v>
      </c>
      <c r="X117" t="b">
        <f t="shared" si="7"/>
        <v>0</v>
      </c>
      <c r="Y117">
        <f t="shared" si="8"/>
        <v>0</v>
      </c>
    </row>
    <row r="118" spans="9:25" hidden="1">
      <c r="I118">
        <v>42</v>
      </c>
      <c r="J118" s="1">
        <v>2</v>
      </c>
      <c r="K118" s="1">
        <v>3</v>
      </c>
      <c r="L118" s="1">
        <v>1</v>
      </c>
      <c r="M118" s="1">
        <v>0</v>
      </c>
      <c r="N118">
        <f>INT(VLOOKUP($J118,$A$2:$G$6,2,0)*$L118/2)</f>
        <v>127</v>
      </c>
      <c r="O118">
        <f>INT(VLOOKUP($J118,$A$2:$G$6,3,0)*$L118/2)</f>
        <v>0</v>
      </c>
      <c r="P118">
        <f>INT(VLOOKUP($J118,$A$2:$G$6,4,0)*$L118/2)</f>
        <v>0</v>
      </c>
      <c r="Q118">
        <f>INT(VLOOKUP($K118,$A$2:$G$6,2,0)*$M118/2)</f>
        <v>0</v>
      </c>
      <c r="R118">
        <f>INT(VLOOKUP($K118,$A$2:$G$6,3,0)*$M118/2)</f>
        <v>0</v>
      </c>
      <c r="S118">
        <f>INT(VLOOKUP($K118,$A$2:$G$6,4,0)*$M118/2)</f>
        <v>0</v>
      </c>
      <c r="T118">
        <f>INT((N118+Q118)/2)</f>
        <v>63</v>
      </c>
      <c r="U118">
        <f>INT((O118+R118)/2)</f>
        <v>0</v>
      </c>
      <c r="V118">
        <f>INT((P118+S118)/2)</f>
        <v>0</v>
      </c>
      <c r="W118" t="str">
        <f t="shared" si="6"/>
        <v>3F0000</v>
      </c>
      <c r="X118" t="b">
        <f t="shared" si="7"/>
        <v>0</v>
      </c>
      <c r="Y118">
        <f t="shared" si="8"/>
        <v>0</v>
      </c>
    </row>
    <row r="119" spans="9:25" hidden="1">
      <c r="I119">
        <v>47</v>
      </c>
      <c r="J119" s="1">
        <v>2</v>
      </c>
      <c r="K119" s="1">
        <v>4</v>
      </c>
      <c r="L119" s="1">
        <v>1</v>
      </c>
      <c r="M119" s="1">
        <v>0</v>
      </c>
      <c r="N119">
        <f>INT(VLOOKUP($J119,$A$2:$G$6,2,0)*$L119/2)</f>
        <v>127</v>
      </c>
      <c r="O119">
        <f>INT(VLOOKUP($J119,$A$2:$G$6,3,0)*$L119/2)</f>
        <v>0</v>
      </c>
      <c r="P119">
        <f>INT(VLOOKUP($J119,$A$2:$G$6,4,0)*$L119/2)</f>
        <v>0</v>
      </c>
      <c r="Q119">
        <f>INT(VLOOKUP($K119,$A$2:$G$6,2,0)*$M119/2)</f>
        <v>0</v>
      </c>
      <c r="R119">
        <f>INT(VLOOKUP($K119,$A$2:$G$6,3,0)*$M119/2)</f>
        <v>0</v>
      </c>
      <c r="S119">
        <f>INT(VLOOKUP($K119,$A$2:$G$6,4,0)*$M119/2)</f>
        <v>0</v>
      </c>
      <c r="T119">
        <f>INT((N119+Q119)/2)</f>
        <v>63</v>
      </c>
      <c r="U119">
        <f>INT((O119+R119)/2)</f>
        <v>0</v>
      </c>
      <c r="V119">
        <f>INT((P119+S119)/2)</f>
        <v>0</v>
      </c>
      <c r="W119" t="str">
        <f t="shared" si="6"/>
        <v>3F0000</v>
      </c>
      <c r="X119" t="b">
        <f t="shared" si="7"/>
        <v>0</v>
      </c>
      <c r="Y119">
        <f t="shared" si="8"/>
        <v>0</v>
      </c>
    </row>
    <row r="120" spans="9:25" hidden="1">
      <c r="I120">
        <v>85</v>
      </c>
      <c r="J120" s="1">
        <v>0</v>
      </c>
      <c r="K120" s="1">
        <v>2</v>
      </c>
      <c r="L120" s="1">
        <v>0</v>
      </c>
      <c r="M120" s="1">
        <v>1</v>
      </c>
      <c r="N120">
        <f>INT(VLOOKUP($J120,$A$2:$G$6,2,0)*$L120/2)</f>
        <v>0</v>
      </c>
      <c r="O120">
        <f>INT(VLOOKUP($J120,$A$2:$G$6,3,0)*$L120/2)</f>
        <v>0</v>
      </c>
      <c r="P120">
        <f>INT(VLOOKUP($J120,$A$2:$G$6,4,0)*$L120/2)</f>
        <v>0</v>
      </c>
      <c r="Q120">
        <f>INT(VLOOKUP($K120,$A$2:$G$6,2,0)*$M120/2)</f>
        <v>127</v>
      </c>
      <c r="R120">
        <f>INT(VLOOKUP($K120,$A$2:$G$6,3,0)*$M120/2)</f>
        <v>0</v>
      </c>
      <c r="S120">
        <f>INT(VLOOKUP($K120,$A$2:$G$6,4,0)*$M120/2)</f>
        <v>0</v>
      </c>
      <c r="T120">
        <f>INT((N120+Q120)/2)</f>
        <v>63</v>
      </c>
      <c r="U120">
        <f>INT((O120+R120)/2)</f>
        <v>0</v>
      </c>
      <c r="V120">
        <f>INT((P120+S120)/2)</f>
        <v>0</v>
      </c>
      <c r="W120" t="str">
        <f t="shared" si="6"/>
        <v>3F0000</v>
      </c>
      <c r="X120" t="b">
        <f t="shared" si="7"/>
        <v>0</v>
      </c>
      <c r="Y120">
        <f t="shared" si="8"/>
        <v>0</v>
      </c>
    </row>
    <row r="121" spans="9:25" hidden="1">
      <c r="I121">
        <v>86</v>
      </c>
      <c r="J121" s="1">
        <v>1</v>
      </c>
      <c r="K121" s="1">
        <v>2</v>
      </c>
      <c r="L121" s="1">
        <v>0</v>
      </c>
      <c r="M121" s="1">
        <v>1</v>
      </c>
      <c r="N121">
        <f>INT(VLOOKUP($J121,$A$2:$G$6,2,0)*$L121/2)</f>
        <v>0</v>
      </c>
      <c r="O121">
        <f>INT(VLOOKUP($J121,$A$2:$G$6,3,0)*$L121/2)</f>
        <v>0</v>
      </c>
      <c r="P121">
        <f>INT(VLOOKUP($J121,$A$2:$G$6,4,0)*$L121/2)</f>
        <v>0</v>
      </c>
      <c r="Q121">
        <f>INT(VLOOKUP($K121,$A$2:$G$6,2,0)*$M121/2)</f>
        <v>127</v>
      </c>
      <c r="R121">
        <f>INT(VLOOKUP($K121,$A$2:$G$6,3,0)*$M121/2)</f>
        <v>0</v>
      </c>
      <c r="S121">
        <f>INT(VLOOKUP($K121,$A$2:$G$6,4,0)*$M121/2)</f>
        <v>0</v>
      </c>
      <c r="T121">
        <f>INT((N121+Q121)/2)</f>
        <v>63</v>
      </c>
      <c r="U121">
        <f>INT((O121+R121)/2)</f>
        <v>0</v>
      </c>
      <c r="V121">
        <f>INT((P121+S121)/2)</f>
        <v>0</v>
      </c>
      <c r="W121" t="str">
        <f t="shared" si="6"/>
        <v>3F0000</v>
      </c>
      <c r="X121" t="b">
        <f t="shared" si="7"/>
        <v>0</v>
      </c>
      <c r="Y121">
        <f t="shared" si="8"/>
        <v>0</v>
      </c>
    </row>
    <row r="122" spans="9:25" hidden="1">
      <c r="I122">
        <v>87</v>
      </c>
      <c r="J122" s="1">
        <v>2</v>
      </c>
      <c r="K122" s="1">
        <v>2</v>
      </c>
      <c r="L122" s="1">
        <v>0</v>
      </c>
      <c r="M122" s="1">
        <v>1</v>
      </c>
      <c r="N122">
        <f>INT(VLOOKUP($J122,$A$2:$G$6,2,0)*$L122/2)</f>
        <v>0</v>
      </c>
      <c r="O122">
        <f>INT(VLOOKUP($J122,$A$2:$G$6,3,0)*$L122/2)</f>
        <v>0</v>
      </c>
      <c r="P122">
        <f>INT(VLOOKUP($J122,$A$2:$G$6,4,0)*$L122/2)</f>
        <v>0</v>
      </c>
      <c r="Q122">
        <f>INT(VLOOKUP($K122,$A$2:$G$6,2,0)*$M122/2)</f>
        <v>127</v>
      </c>
      <c r="R122">
        <f>INT(VLOOKUP($K122,$A$2:$G$6,3,0)*$M122/2)</f>
        <v>0</v>
      </c>
      <c r="S122">
        <f>INT(VLOOKUP($K122,$A$2:$G$6,4,0)*$M122/2)</f>
        <v>0</v>
      </c>
      <c r="T122">
        <f>INT((N122+Q122)/2)</f>
        <v>63</v>
      </c>
      <c r="U122">
        <f>INT((O122+R122)/2)</f>
        <v>0</v>
      </c>
      <c r="V122">
        <f>INT((P122+S122)/2)</f>
        <v>0</v>
      </c>
      <c r="W122" t="str">
        <f t="shared" si="6"/>
        <v>3F0000</v>
      </c>
      <c r="X122" t="b">
        <f t="shared" si="7"/>
        <v>0</v>
      </c>
      <c r="Y122">
        <f t="shared" si="8"/>
        <v>0</v>
      </c>
    </row>
    <row r="123" spans="9:25" hidden="1">
      <c r="I123">
        <v>88</v>
      </c>
      <c r="J123" s="1">
        <v>3</v>
      </c>
      <c r="K123" s="1">
        <v>2</v>
      </c>
      <c r="L123" s="1">
        <v>0</v>
      </c>
      <c r="M123" s="1">
        <v>1</v>
      </c>
      <c r="N123">
        <f>INT(VLOOKUP($J123,$A$2:$G$6,2,0)*$L123/2)</f>
        <v>0</v>
      </c>
      <c r="O123">
        <f>INT(VLOOKUP($J123,$A$2:$G$6,3,0)*$L123/2)</f>
        <v>0</v>
      </c>
      <c r="P123">
        <f>INT(VLOOKUP($J123,$A$2:$G$6,4,0)*$L123/2)</f>
        <v>0</v>
      </c>
      <c r="Q123">
        <f>INT(VLOOKUP($K123,$A$2:$G$6,2,0)*$M123/2)</f>
        <v>127</v>
      </c>
      <c r="R123">
        <f>INT(VLOOKUP($K123,$A$2:$G$6,3,0)*$M123/2)</f>
        <v>0</v>
      </c>
      <c r="S123">
        <f>INT(VLOOKUP($K123,$A$2:$G$6,4,0)*$M123/2)</f>
        <v>0</v>
      </c>
      <c r="T123">
        <f>INT((N123+Q123)/2)</f>
        <v>63</v>
      </c>
      <c r="U123">
        <f>INT((O123+R123)/2)</f>
        <v>0</v>
      </c>
      <c r="V123">
        <f>INT((P123+S123)/2)</f>
        <v>0</v>
      </c>
      <c r="W123" t="str">
        <f t="shared" si="6"/>
        <v>3F0000</v>
      </c>
      <c r="X123" t="b">
        <f t="shared" si="7"/>
        <v>0</v>
      </c>
      <c r="Y123">
        <f t="shared" si="8"/>
        <v>0</v>
      </c>
    </row>
    <row r="124" spans="9:25" hidden="1">
      <c r="I124">
        <v>89</v>
      </c>
      <c r="J124" s="1">
        <v>4</v>
      </c>
      <c r="K124" s="1">
        <v>2</v>
      </c>
      <c r="L124" s="1">
        <v>0</v>
      </c>
      <c r="M124" s="1">
        <v>1</v>
      </c>
      <c r="N124">
        <f>INT(VLOOKUP($J124,$A$2:$G$6,2,0)*$L124/2)</f>
        <v>0</v>
      </c>
      <c r="O124">
        <f>INT(VLOOKUP($J124,$A$2:$G$6,3,0)*$L124/2)</f>
        <v>0</v>
      </c>
      <c r="P124">
        <f>INT(VLOOKUP($J124,$A$2:$G$6,4,0)*$L124/2)</f>
        <v>0</v>
      </c>
      <c r="Q124">
        <f>INT(VLOOKUP($K124,$A$2:$G$6,2,0)*$M124/2)</f>
        <v>127</v>
      </c>
      <c r="R124">
        <f>INT(VLOOKUP($K124,$A$2:$G$6,3,0)*$M124/2)</f>
        <v>0</v>
      </c>
      <c r="S124">
        <f>INT(VLOOKUP($K124,$A$2:$G$6,4,0)*$M124/2)</f>
        <v>0</v>
      </c>
      <c r="T124">
        <f>INT((N124+Q124)/2)</f>
        <v>63</v>
      </c>
      <c r="U124">
        <f>INT((O124+R124)/2)</f>
        <v>0</v>
      </c>
      <c r="V124">
        <f>INT((P124+S124)/2)</f>
        <v>0</v>
      </c>
      <c r="W124" t="str">
        <f t="shared" si="6"/>
        <v>3F0000</v>
      </c>
      <c r="X124" t="b">
        <f t="shared" si="7"/>
        <v>0</v>
      </c>
      <c r="Y124">
        <f t="shared" si="8"/>
        <v>0</v>
      </c>
    </row>
    <row r="125" spans="9:25" hidden="1">
      <c r="I125">
        <v>102</v>
      </c>
      <c r="J125" s="1">
        <v>2</v>
      </c>
      <c r="K125" s="1">
        <v>0</v>
      </c>
      <c r="L125" s="1">
        <v>1</v>
      </c>
      <c r="M125" s="1">
        <v>1</v>
      </c>
      <c r="N125">
        <f>INT(VLOOKUP($J125,$A$2:$G$6,2,0)*$L125/2)</f>
        <v>127</v>
      </c>
      <c r="O125">
        <f>INT(VLOOKUP($J125,$A$2:$G$6,3,0)*$L125/2)</f>
        <v>0</v>
      </c>
      <c r="P125">
        <f>INT(VLOOKUP($J125,$A$2:$G$6,4,0)*$L125/2)</f>
        <v>0</v>
      </c>
      <c r="Q125">
        <f>INT(VLOOKUP($K125,$A$2:$G$6,2,0)*$M125/2)</f>
        <v>0</v>
      </c>
      <c r="R125">
        <f>INT(VLOOKUP($K125,$A$2:$G$6,3,0)*$M125/2)</f>
        <v>0</v>
      </c>
      <c r="S125">
        <f>INT(VLOOKUP($K125,$A$2:$G$6,4,0)*$M125/2)</f>
        <v>0</v>
      </c>
      <c r="T125">
        <f>INT((N125+Q125)/2)</f>
        <v>63</v>
      </c>
      <c r="U125">
        <f>INT((O125+R125)/2)</f>
        <v>0</v>
      </c>
      <c r="V125">
        <f>INT((P125+S125)/2)</f>
        <v>0</v>
      </c>
      <c r="W125" t="str">
        <f t="shared" si="6"/>
        <v>3F0000</v>
      </c>
      <c r="X125" t="b">
        <f t="shared" si="7"/>
        <v>0</v>
      </c>
      <c r="Y125">
        <f t="shared" si="8"/>
        <v>0</v>
      </c>
    </row>
    <row r="126" spans="9:25" hidden="1">
      <c r="I126">
        <v>110</v>
      </c>
      <c r="J126" s="1">
        <v>0</v>
      </c>
      <c r="K126" s="1">
        <v>2</v>
      </c>
      <c r="L126" s="1">
        <v>1</v>
      </c>
      <c r="M126" s="1">
        <v>1</v>
      </c>
      <c r="N126">
        <f>INT(VLOOKUP($J126,$A$2:$G$6,2,0)*$L126/2)</f>
        <v>0</v>
      </c>
      <c r="O126">
        <f>INT(VLOOKUP($J126,$A$2:$G$6,3,0)*$L126/2)</f>
        <v>0</v>
      </c>
      <c r="P126">
        <f>INT(VLOOKUP($J126,$A$2:$G$6,4,0)*$L126/2)</f>
        <v>0</v>
      </c>
      <c r="Q126">
        <f>INT(VLOOKUP($K126,$A$2:$G$6,2,0)*$M126/2)</f>
        <v>127</v>
      </c>
      <c r="R126">
        <f>INT(VLOOKUP($K126,$A$2:$G$6,3,0)*$M126/2)</f>
        <v>0</v>
      </c>
      <c r="S126">
        <f>INT(VLOOKUP($K126,$A$2:$G$6,4,0)*$M126/2)</f>
        <v>0</v>
      </c>
      <c r="T126">
        <f>INT((N126+Q126)/2)</f>
        <v>63</v>
      </c>
      <c r="U126">
        <f>INT((O126+R126)/2)</f>
        <v>0</v>
      </c>
      <c r="V126">
        <f>INT((P126+S126)/2)</f>
        <v>0</v>
      </c>
      <c r="W126" t="str">
        <f t="shared" si="6"/>
        <v>3F0000</v>
      </c>
      <c r="X126" t="b">
        <f t="shared" si="7"/>
        <v>0</v>
      </c>
      <c r="Y126">
        <f t="shared" si="8"/>
        <v>0</v>
      </c>
    </row>
    <row r="127" spans="9:25" hidden="1">
      <c r="I127">
        <v>135</v>
      </c>
      <c r="J127" s="1">
        <v>0</v>
      </c>
      <c r="K127" s="1">
        <v>2</v>
      </c>
      <c r="L127" s="1">
        <v>2</v>
      </c>
      <c r="M127" s="1">
        <v>1</v>
      </c>
      <c r="N127">
        <f>INT(VLOOKUP($J127,$A$2:$G$6,2,0)*$L127/2)</f>
        <v>0</v>
      </c>
      <c r="O127">
        <f>INT(VLOOKUP($J127,$A$2:$G$6,3,0)*$L127/2)</f>
        <v>0</v>
      </c>
      <c r="P127">
        <f>INT(VLOOKUP($J127,$A$2:$G$6,4,0)*$L127/2)</f>
        <v>0</v>
      </c>
      <c r="Q127">
        <f>INT(VLOOKUP($K127,$A$2:$G$6,2,0)*$M127/2)</f>
        <v>127</v>
      </c>
      <c r="R127">
        <f>INT(VLOOKUP($K127,$A$2:$G$6,3,0)*$M127/2)</f>
        <v>0</v>
      </c>
      <c r="S127">
        <f>INT(VLOOKUP($K127,$A$2:$G$6,4,0)*$M127/2)</f>
        <v>0</v>
      </c>
      <c r="T127">
        <f>INT((N127+Q127)/2)</f>
        <v>63</v>
      </c>
      <c r="U127">
        <f>INT((O127+R127)/2)</f>
        <v>0</v>
      </c>
      <c r="V127">
        <f>INT((P127+S127)/2)</f>
        <v>0</v>
      </c>
      <c r="W127" t="str">
        <f t="shared" si="6"/>
        <v>3F0000</v>
      </c>
      <c r="X127" t="b">
        <f t="shared" si="7"/>
        <v>0</v>
      </c>
      <c r="Y127">
        <f t="shared" si="8"/>
        <v>0</v>
      </c>
    </row>
    <row r="128" spans="9:25" hidden="1">
      <c r="I128">
        <v>177</v>
      </c>
      <c r="J128" s="1">
        <v>2</v>
      </c>
      <c r="K128" s="1">
        <v>0</v>
      </c>
      <c r="L128" s="1">
        <v>1</v>
      </c>
      <c r="M128" s="1">
        <v>2</v>
      </c>
      <c r="N128">
        <f>INT(VLOOKUP($J128,$A$2:$G$6,2,0)*$L128/2)</f>
        <v>127</v>
      </c>
      <c r="O128">
        <f>INT(VLOOKUP($J128,$A$2:$G$6,3,0)*$L128/2)</f>
        <v>0</v>
      </c>
      <c r="P128">
        <f>INT(VLOOKUP($J128,$A$2:$G$6,4,0)*$L128/2)</f>
        <v>0</v>
      </c>
      <c r="Q128">
        <f>INT(VLOOKUP($K128,$A$2:$G$6,2,0)*$M128/2)</f>
        <v>0</v>
      </c>
      <c r="R128">
        <f>INT(VLOOKUP($K128,$A$2:$G$6,3,0)*$M128/2)</f>
        <v>0</v>
      </c>
      <c r="S128">
        <f>INT(VLOOKUP($K128,$A$2:$G$6,4,0)*$M128/2)</f>
        <v>0</v>
      </c>
      <c r="T128">
        <f>INT((N128+Q128)/2)</f>
        <v>63</v>
      </c>
      <c r="U128">
        <f>INT((O128+R128)/2)</f>
        <v>0</v>
      </c>
      <c r="V128">
        <f>INT((P128+S128)/2)</f>
        <v>0</v>
      </c>
      <c r="W128" t="str">
        <f t="shared" si="6"/>
        <v>3F0000</v>
      </c>
      <c r="X128" t="b">
        <f t="shared" si="7"/>
        <v>0</v>
      </c>
      <c r="Y128">
        <f t="shared" si="8"/>
        <v>0</v>
      </c>
    </row>
    <row r="129" spans="9:25" hidden="1">
      <c r="I129">
        <v>109</v>
      </c>
      <c r="J129" s="1">
        <v>4</v>
      </c>
      <c r="K129" s="1">
        <v>1</v>
      </c>
      <c r="L129" s="1">
        <v>1</v>
      </c>
      <c r="M129" s="1">
        <v>1</v>
      </c>
      <c r="N129">
        <f>INT(VLOOKUP($J129,$A$2:$G$6,2,0)*$L129/2)</f>
        <v>0</v>
      </c>
      <c r="O129">
        <f>INT(VLOOKUP($J129,$A$2:$G$6,3,0)*$L129/2)</f>
        <v>127</v>
      </c>
      <c r="P129">
        <f>INT(VLOOKUP($J129,$A$2:$G$6,4,0)*$L129/2)</f>
        <v>0</v>
      </c>
      <c r="Q129">
        <f>INT(VLOOKUP($K129,$A$2:$G$6,2,0)*$M129/2)</f>
        <v>0</v>
      </c>
      <c r="R129">
        <f>INT(VLOOKUP($K129,$A$2:$G$6,3,0)*$M129/2)</f>
        <v>0</v>
      </c>
      <c r="S129">
        <f>INT(VLOOKUP($K129,$A$2:$G$6,4,0)*$M129/2)</f>
        <v>127</v>
      </c>
      <c r="T129">
        <f>INT((N129+Q129)/2)</f>
        <v>0</v>
      </c>
      <c r="U129">
        <f>INT((O129+R129)/2)</f>
        <v>63</v>
      </c>
      <c r="V129">
        <f>INT((P129+S129)/2)</f>
        <v>63</v>
      </c>
      <c r="W129" t="str">
        <f t="shared" si="6"/>
        <v>003F3F</v>
      </c>
      <c r="X129" t="b">
        <f t="shared" si="7"/>
        <v>0</v>
      </c>
      <c r="Y129">
        <f t="shared" si="8"/>
        <v>1</v>
      </c>
    </row>
    <row r="130" spans="9:25" hidden="1">
      <c r="I130">
        <v>121</v>
      </c>
      <c r="J130" s="1">
        <v>1</v>
      </c>
      <c r="K130" s="1">
        <v>4</v>
      </c>
      <c r="L130" s="1">
        <v>1</v>
      </c>
      <c r="M130" s="1">
        <v>1</v>
      </c>
      <c r="N130">
        <f>INT(VLOOKUP($J130,$A$2:$G$6,2,0)*$L130/2)</f>
        <v>0</v>
      </c>
      <c r="O130">
        <f>INT(VLOOKUP($J130,$A$2:$G$6,3,0)*$L130/2)</f>
        <v>0</v>
      </c>
      <c r="P130">
        <f>INT(VLOOKUP($J130,$A$2:$G$6,4,0)*$L130/2)</f>
        <v>127</v>
      </c>
      <c r="Q130">
        <f>INT(VLOOKUP($K130,$A$2:$G$6,2,0)*$M130/2)</f>
        <v>0</v>
      </c>
      <c r="R130">
        <f>INT(VLOOKUP($K130,$A$2:$G$6,3,0)*$M130/2)</f>
        <v>127</v>
      </c>
      <c r="S130">
        <f>INT(VLOOKUP($K130,$A$2:$G$6,4,0)*$M130/2)</f>
        <v>0</v>
      </c>
      <c r="T130">
        <f>INT((N130+Q130)/2)</f>
        <v>0</v>
      </c>
      <c r="U130">
        <f>INT((O130+R130)/2)</f>
        <v>63</v>
      </c>
      <c r="V130">
        <f>INT((P130+S130)/2)</f>
        <v>63</v>
      </c>
      <c r="W130" t="str">
        <f t="shared" si="6"/>
        <v>003F3F</v>
      </c>
      <c r="X130" t="b">
        <f t="shared" si="7"/>
        <v>0</v>
      </c>
      <c r="Y130">
        <f t="shared" si="8"/>
        <v>0</v>
      </c>
    </row>
    <row r="131" spans="9:25" hidden="1">
      <c r="I131">
        <v>146</v>
      </c>
      <c r="J131" s="1">
        <v>1</v>
      </c>
      <c r="K131" s="1">
        <v>4</v>
      </c>
      <c r="L131" s="1">
        <v>2</v>
      </c>
      <c r="M131" s="1">
        <v>1</v>
      </c>
      <c r="N131">
        <f>INT(VLOOKUP($J131,$A$2:$G$6,2,0)*$L131/2)</f>
        <v>0</v>
      </c>
      <c r="O131">
        <f>INT(VLOOKUP($J131,$A$2:$G$6,3,0)*$L131/2)</f>
        <v>0</v>
      </c>
      <c r="P131">
        <f>INT(VLOOKUP($J131,$A$2:$G$6,4,0)*$L131/2)</f>
        <v>255</v>
      </c>
      <c r="Q131">
        <f>INT(VLOOKUP($K131,$A$2:$G$6,2,0)*$M131/2)</f>
        <v>0</v>
      </c>
      <c r="R131">
        <f>INT(VLOOKUP($K131,$A$2:$G$6,3,0)*$M131/2)</f>
        <v>127</v>
      </c>
      <c r="S131">
        <f>INT(VLOOKUP($K131,$A$2:$G$6,4,0)*$M131/2)</f>
        <v>0</v>
      </c>
      <c r="T131">
        <f>INT((N131+Q131)/2)</f>
        <v>0</v>
      </c>
      <c r="U131">
        <f>INT((O131+R131)/2)</f>
        <v>63</v>
      </c>
      <c r="V131">
        <f>INT((P131+S131)/2)</f>
        <v>127</v>
      </c>
      <c r="W131" t="str">
        <f t="shared" ref="W131:W194" si="9">DEC2HEX(T131,2)&amp;DEC2HEX(U131,2)&amp;DEC2HEX(V131,2)</f>
        <v>003F7F</v>
      </c>
      <c r="X131" t="b">
        <f t="shared" ref="X131:X194" si="10">AND(J131=K131,L131=1,M131=1)</f>
        <v>0</v>
      </c>
      <c r="Y131">
        <f t="shared" ref="Y131:Y194" si="11">INT(W131&lt;&gt;W130)</f>
        <v>1</v>
      </c>
    </row>
    <row r="132" spans="9:25" hidden="1">
      <c r="I132">
        <v>184</v>
      </c>
      <c r="J132" s="1">
        <v>4</v>
      </c>
      <c r="K132" s="1">
        <v>1</v>
      </c>
      <c r="L132" s="1">
        <v>1</v>
      </c>
      <c r="M132" s="1">
        <v>2</v>
      </c>
      <c r="N132">
        <f>INT(VLOOKUP($J132,$A$2:$G$6,2,0)*$L132/2)</f>
        <v>0</v>
      </c>
      <c r="O132">
        <f>INT(VLOOKUP($J132,$A$2:$G$6,3,0)*$L132/2)</f>
        <v>127</v>
      </c>
      <c r="P132">
        <f>INT(VLOOKUP($J132,$A$2:$G$6,4,0)*$L132/2)</f>
        <v>0</v>
      </c>
      <c r="Q132">
        <f>INT(VLOOKUP($K132,$A$2:$G$6,2,0)*$M132/2)</f>
        <v>0</v>
      </c>
      <c r="R132">
        <f>INT(VLOOKUP($K132,$A$2:$G$6,3,0)*$M132/2)</f>
        <v>0</v>
      </c>
      <c r="S132">
        <f>INT(VLOOKUP($K132,$A$2:$G$6,4,0)*$M132/2)</f>
        <v>255</v>
      </c>
      <c r="T132">
        <f>INT((N132+Q132)/2)</f>
        <v>0</v>
      </c>
      <c r="U132">
        <f>INT((O132+R132)/2)</f>
        <v>63</v>
      </c>
      <c r="V132">
        <f>INT((P132+S132)/2)</f>
        <v>127</v>
      </c>
      <c r="W132" t="str">
        <f t="shared" si="9"/>
        <v>003F7F</v>
      </c>
      <c r="X132" t="b">
        <f t="shared" si="10"/>
        <v>0</v>
      </c>
      <c r="Y132">
        <f t="shared" si="11"/>
        <v>0</v>
      </c>
    </row>
    <row r="133" spans="9:25" hidden="1">
      <c r="I133">
        <v>52</v>
      </c>
      <c r="J133" s="1">
        <v>2</v>
      </c>
      <c r="K133" s="1">
        <v>0</v>
      </c>
      <c r="L133" s="1">
        <v>2</v>
      </c>
      <c r="M133" s="1">
        <v>0</v>
      </c>
      <c r="N133">
        <f>INT(VLOOKUP($J133,$A$2:$G$6,2,0)*$L133/2)</f>
        <v>255</v>
      </c>
      <c r="O133">
        <f>INT(VLOOKUP($J133,$A$2:$G$6,3,0)*$L133/2)</f>
        <v>0</v>
      </c>
      <c r="P133">
        <f>INT(VLOOKUP($J133,$A$2:$G$6,4,0)*$L133/2)</f>
        <v>0</v>
      </c>
      <c r="Q133">
        <f>INT(VLOOKUP($K133,$A$2:$G$6,2,0)*$M133/2)</f>
        <v>0</v>
      </c>
      <c r="R133">
        <f>INT(VLOOKUP($K133,$A$2:$G$6,3,0)*$M133/2)</f>
        <v>0</v>
      </c>
      <c r="S133">
        <f>INT(VLOOKUP($K133,$A$2:$G$6,4,0)*$M133/2)</f>
        <v>0</v>
      </c>
      <c r="T133">
        <f>INT((N133+Q133)/2)</f>
        <v>127</v>
      </c>
      <c r="U133">
        <f>INT((O133+R133)/2)</f>
        <v>0</v>
      </c>
      <c r="V133">
        <f>INT((P133+S133)/2)</f>
        <v>0</v>
      </c>
      <c r="W133" t="str">
        <f t="shared" si="9"/>
        <v>7F0000</v>
      </c>
      <c r="X133" t="b">
        <f t="shared" si="10"/>
        <v>0</v>
      </c>
      <c r="Y133">
        <f t="shared" si="11"/>
        <v>1</v>
      </c>
    </row>
    <row r="134" spans="9:25" hidden="1">
      <c r="I134">
        <v>57</v>
      </c>
      <c r="J134" s="1">
        <v>2</v>
      </c>
      <c r="K134" s="1">
        <v>1</v>
      </c>
      <c r="L134" s="1">
        <v>2</v>
      </c>
      <c r="M134" s="1">
        <v>0</v>
      </c>
      <c r="N134">
        <f>INT(VLOOKUP($J134,$A$2:$G$6,2,0)*$L134/2)</f>
        <v>255</v>
      </c>
      <c r="O134">
        <f>INT(VLOOKUP($J134,$A$2:$G$6,3,0)*$L134/2)</f>
        <v>0</v>
      </c>
      <c r="P134">
        <f>INT(VLOOKUP($J134,$A$2:$G$6,4,0)*$L134/2)</f>
        <v>0</v>
      </c>
      <c r="Q134">
        <f>INT(VLOOKUP($K134,$A$2:$G$6,2,0)*$M134/2)</f>
        <v>0</v>
      </c>
      <c r="R134">
        <f>INT(VLOOKUP($K134,$A$2:$G$6,3,0)*$M134/2)</f>
        <v>0</v>
      </c>
      <c r="S134">
        <f>INT(VLOOKUP($K134,$A$2:$G$6,4,0)*$M134/2)</f>
        <v>0</v>
      </c>
      <c r="T134">
        <f>INT((N134+Q134)/2)</f>
        <v>127</v>
      </c>
      <c r="U134">
        <f>INT((O134+R134)/2)</f>
        <v>0</v>
      </c>
      <c r="V134">
        <f>INT((P134+S134)/2)</f>
        <v>0</v>
      </c>
      <c r="W134" t="str">
        <f t="shared" si="9"/>
        <v>7F0000</v>
      </c>
      <c r="X134" t="b">
        <f t="shared" si="10"/>
        <v>0</v>
      </c>
      <c r="Y134">
        <f t="shared" si="11"/>
        <v>0</v>
      </c>
    </row>
    <row r="135" spans="9:25" hidden="1">
      <c r="I135">
        <v>62</v>
      </c>
      <c r="J135" s="1">
        <v>2</v>
      </c>
      <c r="K135" s="1">
        <v>2</v>
      </c>
      <c r="L135" s="1">
        <v>2</v>
      </c>
      <c r="M135" s="1">
        <v>0</v>
      </c>
      <c r="N135">
        <f>INT(VLOOKUP($J135,$A$2:$G$6,2,0)*$L135/2)</f>
        <v>255</v>
      </c>
      <c r="O135">
        <f>INT(VLOOKUP($J135,$A$2:$G$6,3,0)*$L135/2)</f>
        <v>0</v>
      </c>
      <c r="P135">
        <f>INT(VLOOKUP($J135,$A$2:$G$6,4,0)*$L135/2)</f>
        <v>0</v>
      </c>
      <c r="Q135">
        <f>INT(VLOOKUP($K135,$A$2:$G$6,2,0)*$M135/2)</f>
        <v>0</v>
      </c>
      <c r="R135">
        <f>INT(VLOOKUP($K135,$A$2:$G$6,3,0)*$M135/2)</f>
        <v>0</v>
      </c>
      <c r="S135">
        <f>INT(VLOOKUP($K135,$A$2:$G$6,4,0)*$M135/2)</f>
        <v>0</v>
      </c>
      <c r="T135">
        <f>INT((N135+Q135)/2)</f>
        <v>127</v>
      </c>
      <c r="U135">
        <f>INT((O135+R135)/2)</f>
        <v>0</v>
      </c>
      <c r="V135">
        <f>INT((P135+S135)/2)</f>
        <v>0</v>
      </c>
      <c r="W135" t="str">
        <f t="shared" si="9"/>
        <v>7F0000</v>
      </c>
      <c r="X135" t="b">
        <f t="shared" si="10"/>
        <v>0</v>
      </c>
      <c r="Y135">
        <f t="shared" si="11"/>
        <v>0</v>
      </c>
    </row>
    <row r="136" spans="9:25" hidden="1">
      <c r="I136">
        <v>67</v>
      </c>
      <c r="J136" s="1">
        <v>2</v>
      </c>
      <c r="K136" s="1">
        <v>3</v>
      </c>
      <c r="L136" s="1">
        <v>2</v>
      </c>
      <c r="M136" s="1">
        <v>0</v>
      </c>
      <c r="N136">
        <f>INT(VLOOKUP($J136,$A$2:$G$6,2,0)*$L136/2)</f>
        <v>255</v>
      </c>
      <c r="O136">
        <f>INT(VLOOKUP($J136,$A$2:$G$6,3,0)*$L136/2)</f>
        <v>0</v>
      </c>
      <c r="P136">
        <f>INT(VLOOKUP($J136,$A$2:$G$6,4,0)*$L136/2)</f>
        <v>0</v>
      </c>
      <c r="Q136">
        <f>INT(VLOOKUP($K136,$A$2:$G$6,2,0)*$M136/2)</f>
        <v>0</v>
      </c>
      <c r="R136">
        <f>INT(VLOOKUP($K136,$A$2:$G$6,3,0)*$M136/2)</f>
        <v>0</v>
      </c>
      <c r="S136">
        <f>INT(VLOOKUP($K136,$A$2:$G$6,4,0)*$M136/2)</f>
        <v>0</v>
      </c>
      <c r="T136">
        <f>INT((N136+Q136)/2)</f>
        <v>127</v>
      </c>
      <c r="U136">
        <f>INT((O136+R136)/2)</f>
        <v>0</v>
      </c>
      <c r="V136">
        <f>INT((P136+S136)/2)</f>
        <v>0</v>
      </c>
      <c r="W136" t="str">
        <f t="shared" si="9"/>
        <v>7F0000</v>
      </c>
      <c r="X136" t="b">
        <f t="shared" si="10"/>
        <v>0</v>
      </c>
      <c r="Y136">
        <f t="shared" si="11"/>
        <v>0</v>
      </c>
    </row>
    <row r="137" spans="9:25" hidden="1">
      <c r="I137">
        <v>72</v>
      </c>
      <c r="J137" s="1">
        <v>2</v>
      </c>
      <c r="K137" s="1">
        <v>4</v>
      </c>
      <c r="L137" s="1">
        <v>2</v>
      </c>
      <c r="M137" s="1">
        <v>0</v>
      </c>
      <c r="N137">
        <f>INT(VLOOKUP($J137,$A$2:$G$6,2,0)*$L137/2)</f>
        <v>255</v>
      </c>
      <c r="O137">
        <f>INT(VLOOKUP($J137,$A$2:$G$6,3,0)*$L137/2)</f>
        <v>0</v>
      </c>
      <c r="P137">
        <f>INT(VLOOKUP($J137,$A$2:$G$6,4,0)*$L137/2)</f>
        <v>0</v>
      </c>
      <c r="Q137">
        <f>INT(VLOOKUP($K137,$A$2:$G$6,2,0)*$M137/2)</f>
        <v>0</v>
      </c>
      <c r="R137">
        <f>INT(VLOOKUP($K137,$A$2:$G$6,3,0)*$M137/2)</f>
        <v>0</v>
      </c>
      <c r="S137">
        <f>INT(VLOOKUP($K137,$A$2:$G$6,4,0)*$M137/2)</f>
        <v>0</v>
      </c>
      <c r="T137">
        <f>INT((N137+Q137)/2)</f>
        <v>127</v>
      </c>
      <c r="U137">
        <f>INT((O137+R137)/2)</f>
        <v>0</v>
      </c>
      <c r="V137">
        <f>INT((P137+S137)/2)</f>
        <v>0</v>
      </c>
      <c r="W137" t="str">
        <f t="shared" si="9"/>
        <v>7F0000</v>
      </c>
      <c r="X137" t="b">
        <f t="shared" si="10"/>
        <v>0</v>
      </c>
      <c r="Y137">
        <f t="shared" si="11"/>
        <v>0</v>
      </c>
    </row>
    <row r="138" spans="9:25">
      <c r="I138">
        <v>112</v>
      </c>
      <c r="J138" s="1">
        <v>2</v>
      </c>
      <c r="K138" s="1">
        <v>2</v>
      </c>
      <c r="L138" s="1">
        <v>1</v>
      </c>
      <c r="M138" s="1">
        <v>1</v>
      </c>
      <c r="N138">
        <f>INT(VLOOKUP($J138,$A$2:$G$6,2,0)*$L138/2)</f>
        <v>127</v>
      </c>
      <c r="O138">
        <f>INT(VLOOKUP($J138,$A$2:$G$6,3,0)*$L138/2)</f>
        <v>0</v>
      </c>
      <c r="P138">
        <f>INT(VLOOKUP($J138,$A$2:$G$6,4,0)*$L138/2)</f>
        <v>0</v>
      </c>
      <c r="Q138">
        <f>INT(VLOOKUP($K138,$A$2:$G$6,2,0)*$M138/2)</f>
        <v>127</v>
      </c>
      <c r="R138">
        <f>INT(VLOOKUP($K138,$A$2:$G$6,3,0)*$M138/2)</f>
        <v>0</v>
      </c>
      <c r="S138">
        <f>INT(VLOOKUP($K138,$A$2:$G$6,4,0)*$M138/2)</f>
        <v>0</v>
      </c>
      <c r="T138">
        <f>INT((N138+Q138)/2)</f>
        <v>127</v>
      </c>
      <c r="U138">
        <f>INT((O138+R138)/2)</f>
        <v>0</v>
      </c>
      <c r="V138">
        <f>INT((P138+S138)/2)</f>
        <v>0</v>
      </c>
      <c r="W138" t="str">
        <f t="shared" si="9"/>
        <v>7F0000</v>
      </c>
      <c r="X138" t="b">
        <f t="shared" si="10"/>
        <v>1</v>
      </c>
      <c r="Y138">
        <f t="shared" si="11"/>
        <v>0</v>
      </c>
    </row>
    <row r="139" spans="9:25" hidden="1">
      <c r="I139">
        <v>127</v>
      </c>
      <c r="J139" s="1">
        <v>2</v>
      </c>
      <c r="K139" s="1">
        <v>0</v>
      </c>
      <c r="L139" s="1">
        <v>2</v>
      </c>
      <c r="M139" s="1">
        <v>1</v>
      </c>
      <c r="N139">
        <f>INT(VLOOKUP($J139,$A$2:$G$6,2,0)*$L139/2)</f>
        <v>255</v>
      </c>
      <c r="O139">
        <f>INT(VLOOKUP($J139,$A$2:$G$6,3,0)*$L139/2)</f>
        <v>0</v>
      </c>
      <c r="P139">
        <f>INT(VLOOKUP($J139,$A$2:$G$6,4,0)*$L139/2)</f>
        <v>0</v>
      </c>
      <c r="Q139">
        <f>INT(VLOOKUP($K139,$A$2:$G$6,2,0)*$M139/2)</f>
        <v>0</v>
      </c>
      <c r="R139">
        <f>INT(VLOOKUP($K139,$A$2:$G$6,3,0)*$M139/2)</f>
        <v>0</v>
      </c>
      <c r="S139">
        <f>INT(VLOOKUP($K139,$A$2:$G$6,4,0)*$M139/2)</f>
        <v>0</v>
      </c>
      <c r="T139">
        <f>INT((N139+Q139)/2)</f>
        <v>127</v>
      </c>
      <c r="U139">
        <f>INT((O139+R139)/2)</f>
        <v>0</v>
      </c>
      <c r="V139">
        <f>INT((P139+S139)/2)</f>
        <v>0</v>
      </c>
      <c r="W139" t="str">
        <f t="shared" si="9"/>
        <v>7F0000</v>
      </c>
      <c r="X139" t="b">
        <f t="shared" si="10"/>
        <v>0</v>
      </c>
      <c r="Y139">
        <f t="shared" si="11"/>
        <v>0</v>
      </c>
    </row>
    <row r="140" spans="9:25" hidden="1">
      <c r="I140">
        <v>160</v>
      </c>
      <c r="J140" s="1">
        <v>0</v>
      </c>
      <c r="K140" s="1">
        <v>2</v>
      </c>
      <c r="L140" s="1">
        <v>0</v>
      </c>
      <c r="M140" s="1">
        <v>2</v>
      </c>
      <c r="N140">
        <f>INT(VLOOKUP($J140,$A$2:$G$6,2,0)*$L140/2)</f>
        <v>0</v>
      </c>
      <c r="O140">
        <f>INT(VLOOKUP($J140,$A$2:$G$6,3,0)*$L140/2)</f>
        <v>0</v>
      </c>
      <c r="P140">
        <f>INT(VLOOKUP($J140,$A$2:$G$6,4,0)*$L140/2)</f>
        <v>0</v>
      </c>
      <c r="Q140">
        <f>INT(VLOOKUP($K140,$A$2:$G$6,2,0)*$M140/2)</f>
        <v>255</v>
      </c>
      <c r="R140">
        <f>INT(VLOOKUP($K140,$A$2:$G$6,3,0)*$M140/2)</f>
        <v>0</v>
      </c>
      <c r="S140">
        <f>INT(VLOOKUP($K140,$A$2:$G$6,4,0)*$M140/2)</f>
        <v>0</v>
      </c>
      <c r="T140">
        <f>INT((N140+Q140)/2)</f>
        <v>127</v>
      </c>
      <c r="U140">
        <f>INT((O140+R140)/2)</f>
        <v>0</v>
      </c>
      <c r="V140">
        <f>INT((P140+S140)/2)</f>
        <v>0</v>
      </c>
      <c r="W140" t="str">
        <f t="shared" si="9"/>
        <v>7F0000</v>
      </c>
      <c r="X140" t="b">
        <f t="shared" si="10"/>
        <v>0</v>
      </c>
      <c r="Y140">
        <f t="shared" si="11"/>
        <v>0</v>
      </c>
    </row>
    <row r="141" spans="9:25" hidden="1">
      <c r="I141">
        <v>161</v>
      </c>
      <c r="J141" s="1">
        <v>1</v>
      </c>
      <c r="K141" s="1">
        <v>2</v>
      </c>
      <c r="L141" s="1">
        <v>0</v>
      </c>
      <c r="M141" s="1">
        <v>2</v>
      </c>
      <c r="N141">
        <f>INT(VLOOKUP($J141,$A$2:$G$6,2,0)*$L141/2)</f>
        <v>0</v>
      </c>
      <c r="O141">
        <f>INT(VLOOKUP($J141,$A$2:$G$6,3,0)*$L141/2)</f>
        <v>0</v>
      </c>
      <c r="P141">
        <f>INT(VLOOKUP($J141,$A$2:$G$6,4,0)*$L141/2)</f>
        <v>0</v>
      </c>
      <c r="Q141">
        <f>INT(VLOOKUP($K141,$A$2:$G$6,2,0)*$M141/2)</f>
        <v>255</v>
      </c>
      <c r="R141">
        <f>INT(VLOOKUP($K141,$A$2:$G$6,3,0)*$M141/2)</f>
        <v>0</v>
      </c>
      <c r="S141">
        <f>INT(VLOOKUP($K141,$A$2:$G$6,4,0)*$M141/2)</f>
        <v>0</v>
      </c>
      <c r="T141">
        <f>INT((N141+Q141)/2)</f>
        <v>127</v>
      </c>
      <c r="U141">
        <f>INT((O141+R141)/2)</f>
        <v>0</v>
      </c>
      <c r="V141">
        <f>INT((P141+S141)/2)</f>
        <v>0</v>
      </c>
      <c r="W141" t="str">
        <f t="shared" si="9"/>
        <v>7F0000</v>
      </c>
      <c r="X141" t="b">
        <f t="shared" si="10"/>
        <v>0</v>
      </c>
      <c r="Y141">
        <f t="shared" si="11"/>
        <v>0</v>
      </c>
    </row>
    <row r="142" spans="9:25" hidden="1">
      <c r="I142">
        <v>162</v>
      </c>
      <c r="J142" s="1">
        <v>2</v>
      </c>
      <c r="K142" s="1">
        <v>2</v>
      </c>
      <c r="L142" s="1">
        <v>0</v>
      </c>
      <c r="M142" s="1">
        <v>2</v>
      </c>
      <c r="N142">
        <f>INT(VLOOKUP($J142,$A$2:$G$6,2,0)*$L142/2)</f>
        <v>0</v>
      </c>
      <c r="O142">
        <f>INT(VLOOKUP($J142,$A$2:$G$6,3,0)*$L142/2)</f>
        <v>0</v>
      </c>
      <c r="P142">
        <f>INT(VLOOKUP($J142,$A$2:$G$6,4,0)*$L142/2)</f>
        <v>0</v>
      </c>
      <c r="Q142">
        <f>INT(VLOOKUP($K142,$A$2:$G$6,2,0)*$M142/2)</f>
        <v>255</v>
      </c>
      <c r="R142">
        <f>INT(VLOOKUP($K142,$A$2:$G$6,3,0)*$M142/2)</f>
        <v>0</v>
      </c>
      <c r="S142">
        <f>INT(VLOOKUP($K142,$A$2:$G$6,4,0)*$M142/2)</f>
        <v>0</v>
      </c>
      <c r="T142">
        <f>INT((N142+Q142)/2)</f>
        <v>127</v>
      </c>
      <c r="U142">
        <f>INT((O142+R142)/2)</f>
        <v>0</v>
      </c>
      <c r="V142">
        <f>INT((P142+S142)/2)</f>
        <v>0</v>
      </c>
      <c r="W142" t="str">
        <f t="shared" si="9"/>
        <v>7F0000</v>
      </c>
      <c r="X142" t="b">
        <f t="shared" si="10"/>
        <v>0</v>
      </c>
      <c r="Y142">
        <f t="shared" si="11"/>
        <v>0</v>
      </c>
    </row>
    <row r="143" spans="9:25" hidden="1">
      <c r="I143">
        <v>163</v>
      </c>
      <c r="J143" s="1">
        <v>3</v>
      </c>
      <c r="K143" s="1">
        <v>2</v>
      </c>
      <c r="L143" s="1">
        <v>0</v>
      </c>
      <c r="M143" s="1">
        <v>2</v>
      </c>
      <c r="N143">
        <f>INT(VLOOKUP($J143,$A$2:$G$6,2,0)*$L143/2)</f>
        <v>0</v>
      </c>
      <c r="O143">
        <f>INT(VLOOKUP($J143,$A$2:$G$6,3,0)*$L143/2)</f>
        <v>0</v>
      </c>
      <c r="P143">
        <f>INT(VLOOKUP($J143,$A$2:$G$6,4,0)*$L143/2)</f>
        <v>0</v>
      </c>
      <c r="Q143">
        <f>INT(VLOOKUP($K143,$A$2:$G$6,2,0)*$M143/2)</f>
        <v>255</v>
      </c>
      <c r="R143">
        <f>INT(VLOOKUP($K143,$A$2:$G$6,3,0)*$M143/2)</f>
        <v>0</v>
      </c>
      <c r="S143">
        <f>INT(VLOOKUP($K143,$A$2:$G$6,4,0)*$M143/2)</f>
        <v>0</v>
      </c>
      <c r="T143">
        <f>INT((N143+Q143)/2)</f>
        <v>127</v>
      </c>
      <c r="U143">
        <f>INT((O143+R143)/2)</f>
        <v>0</v>
      </c>
      <c r="V143">
        <f>INT((P143+S143)/2)</f>
        <v>0</v>
      </c>
      <c r="W143" t="str">
        <f t="shared" si="9"/>
        <v>7F0000</v>
      </c>
      <c r="X143" t="b">
        <f t="shared" si="10"/>
        <v>0</v>
      </c>
      <c r="Y143">
        <f t="shared" si="11"/>
        <v>0</v>
      </c>
    </row>
    <row r="144" spans="9:25" hidden="1">
      <c r="I144">
        <v>164</v>
      </c>
      <c r="J144" s="1">
        <v>4</v>
      </c>
      <c r="K144" s="1">
        <v>2</v>
      </c>
      <c r="L144" s="1">
        <v>0</v>
      </c>
      <c r="M144" s="1">
        <v>2</v>
      </c>
      <c r="N144">
        <f>INT(VLOOKUP($J144,$A$2:$G$6,2,0)*$L144/2)</f>
        <v>0</v>
      </c>
      <c r="O144">
        <f>INT(VLOOKUP($J144,$A$2:$G$6,3,0)*$L144/2)</f>
        <v>0</v>
      </c>
      <c r="P144">
        <f>INT(VLOOKUP($J144,$A$2:$G$6,4,0)*$L144/2)</f>
        <v>0</v>
      </c>
      <c r="Q144">
        <f>INT(VLOOKUP($K144,$A$2:$G$6,2,0)*$M144/2)</f>
        <v>255</v>
      </c>
      <c r="R144">
        <f>INT(VLOOKUP($K144,$A$2:$G$6,3,0)*$M144/2)</f>
        <v>0</v>
      </c>
      <c r="S144">
        <f>INT(VLOOKUP($K144,$A$2:$G$6,4,0)*$M144/2)</f>
        <v>0</v>
      </c>
      <c r="T144">
        <f>INT((N144+Q144)/2)</f>
        <v>127</v>
      </c>
      <c r="U144">
        <f>INT((O144+R144)/2)</f>
        <v>0</v>
      </c>
      <c r="V144">
        <f>INT((P144+S144)/2)</f>
        <v>0</v>
      </c>
      <c r="W144" t="str">
        <f t="shared" si="9"/>
        <v>7F0000</v>
      </c>
      <c r="X144" t="b">
        <f t="shared" si="10"/>
        <v>0</v>
      </c>
      <c r="Y144">
        <f t="shared" si="11"/>
        <v>0</v>
      </c>
    </row>
    <row r="145" spans="9:25" hidden="1">
      <c r="I145">
        <v>185</v>
      </c>
      <c r="J145" s="1">
        <v>0</v>
      </c>
      <c r="K145" s="1">
        <v>2</v>
      </c>
      <c r="L145" s="1">
        <v>1</v>
      </c>
      <c r="M145" s="1">
        <v>2</v>
      </c>
      <c r="N145">
        <f>INT(VLOOKUP($J145,$A$2:$G$6,2,0)*$L145/2)</f>
        <v>0</v>
      </c>
      <c r="O145">
        <f>INT(VLOOKUP($J145,$A$2:$G$6,3,0)*$L145/2)</f>
        <v>0</v>
      </c>
      <c r="P145">
        <f>INT(VLOOKUP($J145,$A$2:$G$6,4,0)*$L145/2)</f>
        <v>0</v>
      </c>
      <c r="Q145">
        <f>INT(VLOOKUP($K145,$A$2:$G$6,2,0)*$M145/2)</f>
        <v>255</v>
      </c>
      <c r="R145">
        <f>INT(VLOOKUP($K145,$A$2:$G$6,3,0)*$M145/2)</f>
        <v>0</v>
      </c>
      <c r="S145">
        <f>INT(VLOOKUP($K145,$A$2:$G$6,4,0)*$M145/2)</f>
        <v>0</v>
      </c>
      <c r="T145">
        <f>INT((N145+Q145)/2)</f>
        <v>127</v>
      </c>
      <c r="U145">
        <f>INT((O145+R145)/2)</f>
        <v>0</v>
      </c>
      <c r="V145">
        <f>INT((P145+S145)/2)</f>
        <v>0</v>
      </c>
      <c r="W145" t="str">
        <f t="shared" si="9"/>
        <v>7F0000</v>
      </c>
      <c r="X145" t="b">
        <f t="shared" si="10"/>
        <v>0</v>
      </c>
      <c r="Y145">
        <f t="shared" si="11"/>
        <v>0</v>
      </c>
    </row>
    <row r="146" spans="9:25" hidden="1">
      <c r="I146">
        <v>202</v>
      </c>
      <c r="J146" s="1">
        <v>2</v>
      </c>
      <c r="K146" s="1">
        <v>0</v>
      </c>
      <c r="L146" s="1">
        <v>2</v>
      </c>
      <c r="M146" s="1">
        <v>2</v>
      </c>
      <c r="N146">
        <f>INT(VLOOKUP($J146,$A$2:$G$6,2,0)*$L146/2)</f>
        <v>255</v>
      </c>
      <c r="O146">
        <f>INT(VLOOKUP($J146,$A$2:$G$6,3,0)*$L146/2)</f>
        <v>0</v>
      </c>
      <c r="P146">
        <f>INT(VLOOKUP($J146,$A$2:$G$6,4,0)*$L146/2)</f>
        <v>0</v>
      </c>
      <c r="Q146">
        <f>INT(VLOOKUP($K146,$A$2:$G$6,2,0)*$M146/2)</f>
        <v>0</v>
      </c>
      <c r="R146">
        <f>INT(VLOOKUP($K146,$A$2:$G$6,3,0)*$M146/2)</f>
        <v>0</v>
      </c>
      <c r="S146">
        <f>INT(VLOOKUP($K146,$A$2:$G$6,4,0)*$M146/2)</f>
        <v>0</v>
      </c>
      <c r="T146">
        <f>INT((N146+Q146)/2)</f>
        <v>127</v>
      </c>
      <c r="U146">
        <f>INT((O146+R146)/2)</f>
        <v>0</v>
      </c>
      <c r="V146">
        <f>INT((P146+S146)/2)</f>
        <v>0</v>
      </c>
      <c r="W146" t="str">
        <f t="shared" si="9"/>
        <v>7F0000</v>
      </c>
      <c r="X146" t="b">
        <f t="shared" si="10"/>
        <v>0</v>
      </c>
      <c r="Y146">
        <f t="shared" si="11"/>
        <v>0</v>
      </c>
    </row>
    <row r="147" spans="9:25" hidden="1">
      <c r="I147">
        <v>210</v>
      </c>
      <c r="J147" s="1">
        <v>0</v>
      </c>
      <c r="K147" s="1">
        <v>2</v>
      </c>
      <c r="L147" s="1">
        <v>2</v>
      </c>
      <c r="M147" s="1">
        <v>2</v>
      </c>
      <c r="N147">
        <f>INT(VLOOKUP($J147,$A$2:$G$6,2,0)*$L147/2)</f>
        <v>0</v>
      </c>
      <c r="O147">
        <f>INT(VLOOKUP($J147,$A$2:$G$6,3,0)*$L147/2)</f>
        <v>0</v>
      </c>
      <c r="P147">
        <f>INT(VLOOKUP($J147,$A$2:$G$6,4,0)*$L147/2)</f>
        <v>0</v>
      </c>
      <c r="Q147">
        <f>INT(VLOOKUP($K147,$A$2:$G$6,2,0)*$M147/2)</f>
        <v>255</v>
      </c>
      <c r="R147">
        <f>INT(VLOOKUP($K147,$A$2:$G$6,3,0)*$M147/2)</f>
        <v>0</v>
      </c>
      <c r="S147">
        <f>INT(VLOOKUP($K147,$A$2:$G$6,4,0)*$M147/2)</f>
        <v>0</v>
      </c>
      <c r="T147">
        <f>INT((N147+Q147)/2)</f>
        <v>127</v>
      </c>
      <c r="U147">
        <f>INT((O147+R147)/2)</f>
        <v>0</v>
      </c>
      <c r="V147">
        <f>INT((P147+S147)/2)</f>
        <v>0</v>
      </c>
      <c r="W147" t="str">
        <f t="shared" si="9"/>
        <v>7F0000</v>
      </c>
      <c r="X147" t="b">
        <f t="shared" si="10"/>
        <v>0</v>
      </c>
      <c r="Y147">
        <f t="shared" si="11"/>
        <v>0</v>
      </c>
    </row>
    <row r="148" spans="9:25" hidden="1">
      <c r="I148">
        <v>134</v>
      </c>
      <c r="J148" s="1">
        <v>4</v>
      </c>
      <c r="K148" s="1">
        <v>1</v>
      </c>
      <c r="L148" s="1">
        <v>2</v>
      </c>
      <c r="M148" s="1">
        <v>1</v>
      </c>
      <c r="N148">
        <f>INT(VLOOKUP($J148,$A$2:$G$6,2,0)*$L148/2)</f>
        <v>0</v>
      </c>
      <c r="O148">
        <f>INT(VLOOKUP($J148,$A$2:$G$6,3,0)*$L148/2)</f>
        <v>255</v>
      </c>
      <c r="P148">
        <f>INT(VLOOKUP($J148,$A$2:$G$6,4,0)*$L148/2)</f>
        <v>0</v>
      </c>
      <c r="Q148">
        <f>INT(VLOOKUP($K148,$A$2:$G$6,2,0)*$M148/2)</f>
        <v>0</v>
      </c>
      <c r="R148">
        <f>INT(VLOOKUP($K148,$A$2:$G$6,3,0)*$M148/2)</f>
        <v>0</v>
      </c>
      <c r="S148">
        <f>INT(VLOOKUP($K148,$A$2:$G$6,4,0)*$M148/2)</f>
        <v>127</v>
      </c>
      <c r="T148">
        <f>INT((N148+Q148)/2)</f>
        <v>0</v>
      </c>
      <c r="U148">
        <f>INT((O148+R148)/2)</f>
        <v>127</v>
      </c>
      <c r="V148">
        <f>INT((P148+S148)/2)</f>
        <v>63</v>
      </c>
      <c r="W148" t="str">
        <f t="shared" si="9"/>
        <v>007F3F</v>
      </c>
      <c r="X148" t="b">
        <f t="shared" si="10"/>
        <v>0</v>
      </c>
      <c r="Y148">
        <f t="shared" si="11"/>
        <v>1</v>
      </c>
    </row>
    <row r="149" spans="9:25" hidden="1">
      <c r="I149">
        <v>196</v>
      </c>
      <c r="J149" s="1">
        <v>1</v>
      </c>
      <c r="K149" s="1">
        <v>4</v>
      </c>
      <c r="L149" s="1">
        <v>1</v>
      </c>
      <c r="M149" s="1">
        <v>2</v>
      </c>
      <c r="N149">
        <f>INT(VLOOKUP($J149,$A$2:$G$6,2,0)*$L149/2)</f>
        <v>0</v>
      </c>
      <c r="O149">
        <f>INT(VLOOKUP($J149,$A$2:$G$6,3,0)*$L149/2)</f>
        <v>0</v>
      </c>
      <c r="P149">
        <f>INT(VLOOKUP($J149,$A$2:$G$6,4,0)*$L149/2)</f>
        <v>127</v>
      </c>
      <c r="Q149">
        <f>INT(VLOOKUP($K149,$A$2:$G$6,2,0)*$M149/2)</f>
        <v>0</v>
      </c>
      <c r="R149">
        <f>INT(VLOOKUP($K149,$A$2:$G$6,3,0)*$M149/2)</f>
        <v>255</v>
      </c>
      <c r="S149">
        <f>INT(VLOOKUP($K149,$A$2:$G$6,4,0)*$M149/2)</f>
        <v>0</v>
      </c>
      <c r="T149">
        <f>INT((N149+Q149)/2)</f>
        <v>0</v>
      </c>
      <c r="U149">
        <f>INT((O149+R149)/2)</f>
        <v>127</v>
      </c>
      <c r="V149">
        <f>INT((P149+S149)/2)</f>
        <v>63</v>
      </c>
      <c r="W149" t="str">
        <f t="shared" si="9"/>
        <v>007F3F</v>
      </c>
      <c r="X149" t="b">
        <f t="shared" si="10"/>
        <v>0</v>
      </c>
      <c r="Y149">
        <f t="shared" si="11"/>
        <v>0</v>
      </c>
    </row>
    <row r="150" spans="9:25" hidden="1">
      <c r="I150">
        <v>209</v>
      </c>
      <c r="J150" s="1">
        <v>4</v>
      </c>
      <c r="K150" s="1">
        <v>1</v>
      </c>
      <c r="L150" s="1">
        <v>2</v>
      </c>
      <c r="M150" s="1">
        <v>2</v>
      </c>
      <c r="N150">
        <f>INT(VLOOKUP($J150,$A$2:$G$6,2,0)*$L150/2)</f>
        <v>0</v>
      </c>
      <c r="O150">
        <f>INT(VLOOKUP($J150,$A$2:$G$6,3,0)*$L150/2)</f>
        <v>255</v>
      </c>
      <c r="P150">
        <f>INT(VLOOKUP($J150,$A$2:$G$6,4,0)*$L150/2)</f>
        <v>0</v>
      </c>
      <c r="Q150">
        <f>INT(VLOOKUP($K150,$A$2:$G$6,2,0)*$M150/2)</f>
        <v>0</v>
      </c>
      <c r="R150">
        <f>INT(VLOOKUP($K150,$A$2:$G$6,3,0)*$M150/2)</f>
        <v>0</v>
      </c>
      <c r="S150">
        <f>INT(VLOOKUP($K150,$A$2:$G$6,4,0)*$M150/2)</f>
        <v>255</v>
      </c>
      <c r="T150">
        <f>INT((N150+Q150)/2)</f>
        <v>0</v>
      </c>
      <c r="U150">
        <f>INT((O150+R150)/2)</f>
        <v>127</v>
      </c>
      <c r="V150">
        <f>INT((P150+S150)/2)</f>
        <v>127</v>
      </c>
      <c r="W150" t="str">
        <f t="shared" si="9"/>
        <v>007F7F</v>
      </c>
      <c r="X150" t="b">
        <f t="shared" si="10"/>
        <v>0</v>
      </c>
      <c r="Y150">
        <f t="shared" si="11"/>
        <v>1</v>
      </c>
    </row>
    <row r="151" spans="9:25" hidden="1">
      <c r="I151">
        <v>221</v>
      </c>
      <c r="J151" s="1">
        <v>1</v>
      </c>
      <c r="K151" s="1">
        <v>4</v>
      </c>
      <c r="L151" s="1">
        <v>2</v>
      </c>
      <c r="M151" s="1">
        <v>2</v>
      </c>
      <c r="N151">
        <f>INT(VLOOKUP($J151,$A$2:$G$6,2,0)*$L151/2)</f>
        <v>0</v>
      </c>
      <c r="O151">
        <f>INT(VLOOKUP($J151,$A$2:$G$6,3,0)*$L151/2)</f>
        <v>0</v>
      </c>
      <c r="P151">
        <f>INT(VLOOKUP($J151,$A$2:$G$6,4,0)*$L151/2)</f>
        <v>255</v>
      </c>
      <c r="Q151">
        <f>INT(VLOOKUP($K151,$A$2:$G$6,2,0)*$M151/2)</f>
        <v>0</v>
      </c>
      <c r="R151">
        <f>INT(VLOOKUP($K151,$A$2:$G$6,3,0)*$M151/2)</f>
        <v>255</v>
      </c>
      <c r="S151">
        <f>INT(VLOOKUP($K151,$A$2:$G$6,4,0)*$M151/2)</f>
        <v>0</v>
      </c>
      <c r="T151">
        <f>INT((N151+Q151)/2)</f>
        <v>0</v>
      </c>
      <c r="U151">
        <f>INT((O151+R151)/2)</f>
        <v>127</v>
      </c>
      <c r="V151">
        <f>INT((P151+S151)/2)</f>
        <v>127</v>
      </c>
      <c r="W151" t="str">
        <f t="shared" si="9"/>
        <v>007F7F</v>
      </c>
      <c r="X151" t="b">
        <f t="shared" si="10"/>
        <v>0</v>
      </c>
      <c r="Y151">
        <f t="shared" si="11"/>
        <v>0</v>
      </c>
    </row>
    <row r="152" spans="9:25" hidden="1">
      <c r="I152">
        <v>137</v>
      </c>
      <c r="J152" s="1">
        <v>2</v>
      </c>
      <c r="K152" s="1">
        <v>2</v>
      </c>
      <c r="L152" s="1">
        <v>2</v>
      </c>
      <c r="M152" s="1">
        <v>1</v>
      </c>
      <c r="N152">
        <f>INT(VLOOKUP($J152,$A$2:$G$6,2,0)*$L152/2)</f>
        <v>255</v>
      </c>
      <c r="O152">
        <f>INT(VLOOKUP($J152,$A$2:$G$6,3,0)*$L152/2)</f>
        <v>0</v>
      </c>
      <c r="P152">
        <f>INT(VLOOKUP($J152,$A$2:$G$6,4,0)*$L152/2)</f>
        <v>0</v>
      </c>
      <c r="Q152">
        <f>INT(VLOOKUP($K152,$A$2:$G$6,2,0)*$M152/2)</f>
        <v>127</v>
      </c>
      <c r="R152">
        <f>INT(VLOOKUP($K152,$A$2:$G$6,3,0)*$M152/2)</f>
        <v>0</v>
      </c>
      <c r="S152">
        <f>INT(VLOOKUP($K152,$A$2:$G$6,4,0)*$M152/2)</f>
        <v>0</v>
      </c>
      <c r="T152">
        <f>INT((N152+Q152)/2)</f>
        <v>191</v>
      </c>
      <c r="U152">
        <f>INT((O152+R152)/2)</f>
        <v>0</v>
      </c>
      <c r="V152">
        <f>INT((P152+S152)/2)</f>
        <v>0</v>
      </c>
      <c r="W152" t="str">
        <f t="shared" si="9"/>
        <v>BF0000</v>
      </c>
      <c r="X152" t="b">
        <f t="shared" si="10"/>
        <v>0</v>
      </c>
      <c r="Y152">
        <f t="shared" si="11"/>
        <v>1</v>
      </c>
    </row>
    <row r="153" spans="9:25" hidden="1">
      <c r="I153">
        <v>187</v>
      </c>
      <c r="J153" s="1">
        <v>2</v>
      </c>
      <c r="K153" s="1">
        <v>2</v>
      </c>
      <c r="L153" s="1">
        <v>1</v>
      </c>
      <c r="M153" s="1">
        <v>2</v>
      </c>
      <c r="N153">
        <f>INT(VLOOKUP($J153,$A$2:$G$6,2,0)*$L153/2)</f>
        <v>127</v>
      </c>
      <c r="O153">
        <f>INT(VLOOKUP($J153,$A$2:$G$6,3,0)*$L153/2)</f>
        <v>0</v>
      </c>
      <c r="P153">
        <f>INT(VLOOKUP($J153,$A$2:$G$6,4,0)*$L153/2)</f>
        <v>0</v>
      </c>
      <c r="Q153">
        <f>INT(VLOOKUP($K153,$A$2:$G$6,2,0)*$M153/2)</f>
        <v>255</v>
      </c>
      <c r="R153">
        <f>INT(VLOOKUP($K153,$A$2:$G$6,3,0)*$M153/2)</f>
        <v>0</v>
      </c>
      <c r="S153">
        <f>INT(VLOOKUP($K153,$A$2:$G$6,4,0)*$M153/2)</f>
        <v>0</v>
      </c>
      <c r="T153">
        <f>INT((N153+Q153)/2)</f>
        <v>191</v>
      </c>
      <c r="U153">
        <f>INT((O153+R153)/2)</f>
        <v>0</v>
      </c>
      <c r="V153">
        <f>INT((P153+S153)/2)</f>
        <v>0</v>
      </c>
      <c r="W153" t="str">
        <f t="shared" si="9"/>
        <v>BF0000</v>
      </c>
      <c r="X153" t="b">
        <f t="shared" si="10"/>
        <v>0</v>
      </c>
      <c r="Y153">
        <f t="shared" si="11"/>
        <v>0</v>
      </c>
    </row>
    <row r="154" spans="9:25" hidden="1">
      <c r="I154">
        <v>212</v>
      </c>
      <c r="J154" s="1">
        <v>2</v>
      </c>
      <c r="K154" s="1">
        <v>2</v>
      </c>
      <c r="L154" s="1">
        <v>2</v>
      </c>
      <c r="M154" s="1">
        <v>2</v>
      </c>
      <c r="N154">
        <f>INT(VLOOKUP($J154,$A$2:$G$6,2,0)*$L154/2)</f>
        <v>255</v>
      </c>
      <c r="O154">
        <f>INT(VLOOKUP($J154,$A$2:$G$6,3,0)*$L154/2)</f>
        <v>0</v>
      </c>
      <c r="P154">
        <f>INT(VLOOKUP($J154,$A$2:$G$6,4,0)*$L154/2)</f>
        <v>0</v>
      </c>
      <c r="Q154">
        <f>INT(VLOOKUP($K154,$A$2:$G$6,2,0)*$M154/2)</f>
        <v>255</v>
      </c>
      <c r="R154">
        <f>INT(VLOOKUP($K154,$A$2:$G$6,3,0)*$M154/2)</f>
        <v>0</v>
      </c>
      <c r="S154">
        <f>INT(VLOOKUP($K154,$A$2:$G$6,4,0)*$M154/2)</f>
        <v>0</v>
      </c>
      <c r="T154">
        <f>INT((N154+Q154)/2)</f>
        <v>255</v>
      </c>
      <c r="U154">
        <f>INT((O154+R154)/2)</f>
        <v>0</v>
      </c>
      <c r="V154">
        <f>INT((P154+S154)/2)</f>
        <v>0</v>
      </c>
      <c r="W154" t="str">
        <f t="shared" si="9"/>
        <v>FF0000</v>
      </c>
      <c r="X154" t="b">
        <f t="shared" si="10"/>
        <v>0</v>
      </c>
      <c r="Y154">
        <f t="shared" si="11"/>
        <v>1</v>
      </c>
    </row>
    <row r="155" spans="9:25" hidden="1">
      <c r="I155">
        <v>28</v>
      </c>
      <c r="J155" s="1">
        <v>3</v>
      </c>
      <c r="K155" s="1">
        <v>0</v>
      </c>
      <c r="L155" s="1">
        <v>1</v>
      </c>
      <c r="M155" s="1">
        <v>0</v>
      </c>
      <c r="N155">
        <f>INT(VLOOKUP($J155,$A$2:$G$6,2,0)*$L155/2)</f>
        <v>127</v>
      </c>
      <c r="O155">
        <f>INT(VLOOKUP($J155,$A$2:$G$6,3,0)*$L155/2)</f>
        <v>0</v>
      </c>
      <c r="P155">
        <f>INT(VLOOKUP($J155,$A$2:$G$6,4,0)*$L155/2)</f>
        <v>127</v>
      </c>
      <c r="Q155">
        <f>INT(VLOOKUP($K155,$A$2:$G$6,2,0)*$M155/2)</f>
        <v>0</v>
      </c>
      <c r="R155">
        <f>INT(VLOOKUP($K155,$A$2:$G$6,3,0)*$M155/2)</f>
        <v>0</v>
      </c>
      <c r="S155">
        <f>INT(VLOOKUP($K155,$A$2:$G$6,4,0)*$M155/2)</f>
        <v>0</v>
      </c>
      <c r="T155">
        <f>INT((N155+Q155)/2)</f>
        <v>63</v>
      </c>
      <c r="U155">
        <f>INT((O155+R155)/2)</f>
        <v>0</v>
      </c>
      <c r="V155">
        <f>INT((P155+S155)/2)</f>
        <v>63</v>
      </c>
      <c r="W155" t="str">
        <f t="shared" si="9"/>
        <v>3F003F</v>
      </c>
      <c r="X155" t="b">
        <f t="shared" si="10"/>
        <v>0</v>
      </c>
      <c r="Y155">
        <f t="shared" si="11"/>
        <v>1</v>
      </c>
    </row>
    <row r="156" spans="9:25" hidden="1">
      <c r="I156">
        <v>33</v>
      </c>
      <c r="J156" s="1">
        <v>3</v>
      </c>
      <c r="K156" s="1">
        <v>1</v>
      </c>
      <c r="L156" s="1">
        <v>1</v>
      </c>
      <c r="M156" s="1">
        <v>0</v>
      </c>
      <c r="N156">
        <f>INT(VLOOKUP($J156,$A$2:$G$6,2,0)*$L156/2)</f>
        <v>127</v>
      </c>
      <c r="O156">
        <f>INT(VLOOKUP($J156,$A$2:$G$6,3,0)*$L156/2)</f>
        <v>0</v>
      </c>
      <c r="P156">
        <f>INT(VLOOKUP($J156,$A$2:$G$6,4,0)*$L156/2)</f>
        <v>127</v>
      </c>
      <c r="Q156">
        <f>INT(VLOOKUP($K156,$A$2:$G$6,2,0)*$M156/2)</f>
        <v>0</v>
      </c>
      <c r="R156">
        <f>INT(VLOOKUP($K156,$A$2:$G$6,3,0)*$M156/2)</f>
        <v>0</v>
      </c>
      <c r="S156">
        <f>INT(VLOOKUP($K156,$A$2:$G$6,4,0)*$M156/2)</f>
        <v>0</v>
      </c>
      <c r="T156">
        <f>INT((N156+Q156)/2)</f>
        <v>63</v>
      </c>
      <c r="U156">
        <f>INT((O156+R156)/2)</f>
        <v>0</v>
      </c>
      <c r="V156">
        <f>INT((P156+S156)/2)</f>
        <v>63</v>
      </c>
      <c r="W156" t="str">
        <f t="shared" si="9"/>
        <v>3F003F</v>
      </c>
      <c r="X156" t="b">
        <f t="shared" si="10"/>
        <v>0</v>
      </c>
      <c r="Y156">
        <f t="shared" si="11"/>
        <v>0</v>
      </c>
    </row>
    <row r="157" spans="9:25" hidden="1">
      <c r="I157">
        <v>38</v>
      </c>
      <c r="J157" s="1">
        <v>3</v>
      </c>
      <c r="K157" s="1">
        <v>2</v>
      </c>
      <c r="L157" s="1">
        <v>1</v>
      </c>
      <c r="M157" s="1">
        <v>0</v>
      </c>
      <c r="N157">
        <f>INT(VLOOKUP($J157,$A$2:$G$6,2,0)*$L157/2)</f>
        <v>127</v>
      </c>
      <c r="O157">
        <f>INT(VLOOKUP($J157,$A$2:$G$6,3,0)*$L157/2)</f>
        <v>0</v>
      </c>
      <c r="P157">
        <f>INT(VLOOKUP($J157,$A$2:$G$6,4,0)*$L157/2)</f>
        <v>127</v>
      </c>
      <c r="Q157">
        <f>INT(VLOOKUP($K157,$A$2:$G$6,2,0)*$M157/2)</f>
        <v>0</v>
      </c>
      <c r="R157">
        <f>INT(VLOOKUP($K157,$A$2:$G$6,3,0)*$M157/2)</f>
        <v>0</v>
      </c>
      <c r="S157">
        <f>INT(VLOOKUP($K157,$A$2:$G$6,4,0)*$M157/2)</f>
        <v>0</v>
      </c>
      <c r="T157">
        <f>INT((N157+Q157)/2)</f>
        <v>63</v>
      </c>
      <c r="U157">
        <f>INT((O157+R157)/2)</f>
        <v>0</v>
      </c>
      <c r="V157">
        <f>INT((P157+S157)/2)</f>
        <v>63</v>
      </c>
      <c r="W157" t="str">
        <f t="shared" si="9"/>
        <v>3F003F</v>
      </c>
      <c r="X157" t="b">
        <f t="shared" si="10"/>
        <v>0</v>
      </c>
      <c r="Y157">
        <f t="shared" si="11"/>
        <v>0</v>
      </c>
    </row>
    <row r="158" spans="9:25" hidden="1">
      <c r="I158">
        <v>43</v>
      </c>
      <c r="J158" s="1">
        <v>3</v>
      </c>
      <c r="K158" s="1">
        <v>3</v>
      </c>
      <c r="L158" s="1">
        <v>1</v>
      </c>
      <c r="M158" s="1">
        <v>0</v>
      </c>
      <c r="N158">
        <f>INT(VLOOKUP($J158,$A$2:$G$6,2,0)*$L158/2)</f>
        <v>127</v>
      </c>
      <c r="O158">
        <f>INT(VLOOKUP($J158,$A$2:$G$6,3,0)*$L158/2)</f>
        <v>0</v>
      </c>
      <c r="P158">
        <f>INT(VLOOKUP($J158,$A$2:$G$6,4,0)*$L158/2)</f>
        <v>127</v>
      </c>
      <c r="Q158">
        <f>INT(VLOOKUP($K158,$A$2:$G$6,2,0)*$M158/2)</f>
        <v>0</v>
      </c>
      <c r="R158">
        <f>INT(VLOOKUP($K158,$A$2:$G$6,3,0)*$M158/2)</f>
        <v>0</v>
      </c>
      <c r="S158">
        <f>INT(VLOOKUP($K158,$A$2:$G$6,4,0)*$M158/2)</f>
        <v>0</v>
      </c>
      <c r="T158">
        <f>INT((N158+Q158)/2)</f>
        <v>63</v>
      </c>
      <c r="U158">
        <f>INT((O158+R158)/2)</f>
        <v>0</v>
      </c>
      <c r="V158">
        <f>INT((P158+S158)/2)</f>
        <v>63</v>
      </c>
      <c r="W158" t="str">
        <f t="shared" si="9"/>
        <v>3F003F</v>
      </c>
      <c r="X158" t="b">
        <f t="shared" si="10"/>
        <v>0</v>
      </c>
      <c r="Y158">
        <f t="shared" si="11"/>
        <v>0</v>
      </c>
    </row>
    <row r="159" spans="9:25" hidden="1">
      <c r="I159">
        <v>48</v>
      </c>
      <c r="J159" s="1">
        <v>3</v>
      </c>
      <c r="K159" s="1">
        <v>4</v>
      </c>
      <c r="L159" s="1">
        <v>1</v>
      </c>
      <c r="M159" s="1">
        <v>0</v>
      </c>
      <c r="N159">
        <f>INT(VLOOKUP($J159,$A$2:$G$6,2,0)*$L159/2)</f>
        <v>127</v>
      </c>
      <c r="O159">
        <f>INT(VLOOKUP($J159,$A$2:$G$6,3,0)*$L159/2)</f>
        <v>0</v>
      </c>
      <c r="P159">
        <f>INT(VLOOKUP($J159,$A$2:$G$6,4,0)*$L159/2)</f>
        <v>127</v>
      </c>
      <c r="Q159">
        <f>INT(VLOOKUP($K159,$A$2:$G$6,2,0)*$M159/2)</f>
        <v>0</v>
      </c>
      <c r="R159">
        <f>INT(VLOOKUP($K159,$A$2:$G$6,3,0)*$M159/2)</f>
        <v>0</v>
      </c>
      <c r="S159">
        <f>INT(VLOOKUP($K159,$A$2:$G$6,4,0)*$M159/2)</f>
        <v>0</v>
      </c>
      <c r="T159">
        <f>INT((N159+Q159)/2)</f>
        <v>63</v>
      </c>
      <c r="U159">
        <f>INT((O159+R159)/2)</f>
        <v>0</v>
      </c>
      <c r="V159">
        <f>INT((P159+S159)/2)</f>
        <v>63</v>
      </c>
      <c r="W159" t="str">
        <f t="shared" si="9"/>
        <v>3F003F</v>
      </c>
      <c r="X159" t="b">
        <f t="shared" si="10"/>
        <v>0</v>
      </c>
      <c r="Y159">
        <f t="shared" si="11"/>
        <v>0</v>
      </c>
    </row>
    <row r="160" spans="9:25" hidden="1">
      <c r="I160">
        <v>90</v>
      </c>
      <c r="J160" s="1">
        <v>0</v>
      </c>
      <c r="K160" s="1">
        <v>3</v>
      </c>
      <c r="L160" s="1">
        <v>0</v>
      </c>
      <c r="M160" s="1">
        <v>1</v>
      </c>
      <c r="N160">
        <f>INT(VLOOKUP($J160,$A$2:$G$6,2,0)*$L160/2)</f>
        <v>0</v>
      </c>
      <c r="O160">
        <f>INT(VLOOKUP($J160,$A$2:$G$6,3,0)*$L160/2)</f>
        <v>0</v>
      </c>
      <c r="P160">
        <f>INT(VLOOKUP($J160,$A$2:$G$6,4,0)*$L160/2)</f>
        <v>0</v>
      </c>
      <c r="Q160">
        <f>INT(VLOOKUP($K160,$A$2:$G$6,2,0)*$M160/2)</f>
        <v>127</v>
      </c>
      <c r="R160">
        <f>INT(VLOOKUP($K160,$A$2:$G$6,3,0)*$M160/2)</f>
        <v>0</v>
      </c>
      <c r="S160">
        <f>INT(VLOOKUP($K160,$A$2:$G$6,4,0)*$M160/2)</f>
        <v>127</v>
      </c>
      <c r="T160">
        <f>INT((N160+Q160)/2)</f>
        <v>63</v>
      </c>
      <c r="U160">
        <f>INT((O160+R160)/2)</f>
        <v>0</v>
      </c>
      <c r="V160">
        <f>INT((P160+S160)/2)</f>
        <v>63</v>
      </c>
      <c r="W160" t="str">
        <f t="shared" si="9"/>
        <v>3F003F</v>
      </c>
      <c r="X160" t="b">
        <f t="shared" si="10"/>
        <v>0</v>
      </c>
      <c r="Y160">
        <f t="shared" si="11"/>
        <v>0</v>
      </c>
    </row>
    <row r="161" spans="9:25" hidden="1">
      <c r="I161">
        <v>91</v>
      </c>
      <c r="J161" s="1">
        <v>1</v>
      </c>
      <c r="K161" s="1">
        <v>3</v>
      </c>
      <c r="L161" s="1">
        <v>0</v>
      </c>
      <c r="M161" s="1">
        <v>1</v>
      </c>
      <c r="N161">
        <f>INT(VLOOKUP($J161,$A$2:$G$6,2,0)*$L161/2)</f>
        <v>0</v>
      </c>
      <c r="O161">
        <f>INT(VLOOKUP($J161,$A$2:$G$6,3,0)*$L161/2)</f>
        <v>0</v>
      </c>
      <c r="P161">
        <f>INT(VLOOKUP($J161,$A$2:$G$6,4,0)*$L161/2)</f>
        <v>0</v>
      </c>
      <c r="Q161">
        <f>INT(VLOOKUP($K161,$A$2:$G$6,2,0)*$M161/2)</f>
        <v>127</v>
      </c>
      <c r="R161">
        <f>INT(VLOOKUP($K161,$A$2:$G$6,3,0)*$M161/2)</f>
        <v>0</v>
      </c>
      <c r="S161">
        <f>INT(VLOOKUP($K161,$A$2:$G$6,4,0)*$M161/2)</f>
        <v>127</v>
      </c>
      <c r="T161">
        <f>INT((N161+Q161)/2)</f>
        <v>63</v>
      </c>
      <c r="U161">
        <f>INT((O161+R161)/2)</f>
        <v>0</v>
      </c>
      <c r="V161">
        <f>INT((P161+S161)/2)</f>
        <v>63</v>
      </c>
      <c r="W161" t="str">
        <f t="shared" si="9"/>
        <v>3F003F</v>
      </c>
      <c r="X161" t="b">
        <f t="shared" si="10"/>
        <v>0</v>
      </c>
      <c r="Y161">
        <f t="shared" si="11"/>
        <v>0</v>
      </c>
    </row>
    <row r="162" spans="9:25" hidden="1">
      <c r="I162">
        <v>92</v>
      </c>
      <c r="J162" s="1">
        <v>2</v>
      </c>
      <c r="K162" s="1">
        <v>3</v>
      </c>
      <c r="L162" s="1">
        <v>0</v>
      </c>
      <c r="M162" s="1">
        <v>1</v>
      </c>
      <c r="N162">
        <f>INT(VLOOKUP($J162,$A$2:$G$6,2,0)*$L162/2)</f>
        <v>0</v>
      </c>
      <c r="O162">
        <f>INT(VLOOKUP($J162,$A$2:$G$6,3,0)*$L162/2)</f>
        <v>0</v>
      </c>
      <c r="P162">
        <f>INT(VLOOKUP($J162,$A$2:$G$6,4,0)*$L162/2)</f>
        <v>0</v>
      </c>
      <c r="Q162">
        <f>INT(VLOOKUP($K162,$A$2:$G$6,2,0)*$M162/2)</f>
        <v>127</v>
      </c>
      <c r="R162">
        <f>INT(VLOOKUP($K162,$A$2:$G$6,3,0)*$M162/2)</f>
        <v>0</v>
      </c>
      <c r="S162">
        <f>INT(VLOOKUP($K162,$A$2:$G$6,4,0)*$M162/2)</f>
        <v>127</v>
      </c>
      <c r="T162">
        <f>INT((N162+Q162)/2)</f>
        <v>63</v>
      </c>
      <c r="U162">
        <f>INT((O162+R162)/2)</f>
        <v>0</v>
      </c>
      <c r="V162">
        <f>INT((P162+S162)/2)</f>
        <v>63</v>
      </c>
      <c r="W162" t="str">
        <f t="shared" si="9"/>
        <v>3F003F</v>
      </c>
      <c r="X162" t="b">
        <f t="shared" si="10"/>
        <v>0</v>
      </c>
      <c r="Y162">
        <f t="shared" si="11"/>
        <v>0</v>
      </c>
    </row>
    <row r="163" spans="9:25" hidden="1">
      <c r="I163">
        <v>93</v>
      </c>
      <c r="J163" s="1">
        <v>3</v>
      </c>
      <c r="K163" s="1">
        <v>3</v>
      </c>
      <c r="L163" s="1">
        <v>0</v>
      </c>
      <c r="M163" s="1">
        <v>1</v>
      </c>
      <c r="N163">
        <f>INT(VLOOKUP($J163,$A$2:$G$6,2,0)*$L163/2)</f>
        <v>0</v>
      </c>
      <c r="O163">
        <f>INT(VLOOKUP($J163,$A$2:$G$6,3,0)*$L163/2)</f>
        <v>0</v>
      </c>
      <c r="P163">
        <f>INT(VLOOKUP($J163,$A$2:$G$6,4,0)*$L163/2)</f>
        <v>0</v>
      </c>
      <c r="Q163">
        <f>INT(VLOOKUP($K163,$A$2:$G$6,2,0)*$M163/2)</f>
        <v>127</v>
      </c>
      <c r="R163">
        <f>INT(VLOOKUP($K163,$A$2:$G$6,3,0)*$M163/2)</f>
        <v>0</v>
      </c>
      <c r="S163">
        <f>INT(VLOOKUP($K163,$A$2:$G$6,4,0)*$M163/2)</f>
        <v>127</v>
      </c>
      <c r="T163">
        <f>INT((N163+Q163)/2)</f>
        <v>63</v>
      </c>
      <c r="U163">
        <f>INT((O163+R163)/2)</f>
        <v>0</v>
      </c>
      <c r="V163">
        <f>INT((P163+S163)/2)</f>
        <v>63</v>
      </c>
      <c r="W163" t="str">
        <f t="shared" si="9"/>
        <v>3F003F</v>
      </c>
      <c r="X163" t="b">
        <f t="shared" si="10"/>
        <v>0</v>
      </c>
      <c r="Y163">
        <f t="shared" si="11"/>
        <v>0</v>
      </c>
    </row>
    <row r="164" spans="9:25" hidden="1">
      <c r="I164">
        <v>94</v>
      </c>
      <c r="J164" s="1">
        <v>4</v>
      </c>
      <c r="K164" s="1">
        <v>3</v>
      </c>
      <c r="L164" s="1">
        <v>0</v>
      </c>
      <c r="M164" s="1">
        <v>1</v>
      </c>
      <c r="N164">
        <f>INT(VLOOKUP($J164,$A$2:$G$6,2,0)*$L164/2)</f>
        <v>0</v>
      </c>
      <c r="O164">
        <f>INT(VLOOKUP($J164,$A$2:$G$6,3,0)*$L164/2)</f>
        <v>0</v>
      </c>
      <c r="P164">
        <f>INT(VLOOKUP($J164,$A$2:$G$6,4,0)*$L164/2)</f>
        <v>0</v>
      </c>
      <c r="Q164">
        <f>INT(VLOOKUP($K164,$A$2:$G$6,2,0)*$M164/2)</f>
        <v>127</v>
      </c>
      <c r="R164">
        <f>INT(VLOOKUP($K164,$A$2:$G$6,3,0)*$M164/2)</f>
        <v>0</v>
      </c>
      <c r="S164">
        <f>INT(VLOOKUP($K164,$A$2:$G$6,4,0)*$M164/2)</f>
        <v>127</v>
      </c>
      <c r="T164">
        <f>INT((N164+Q164)/2)</f>
        <v>63</v>
      </c>
      <c r="U164">
        <f>INT((O164+R164)/2)</f>
        <v>0</v>
      </c>
      <c r="V164">
        <f>INT((P164+S164)/2)</f>
        <v>63</v>
      </c>
      <c r="W164" t="str">
        <f t="shared" si="9"/>
        <v>3F003F</v>
      </c>
      <c r="X164" t="b">
        <f t="shared" si="10"/>
        <v>0</v>
      </c>
      <c r="Y164">
        <f t="shared" si="11"/>
        <v>0</v>
      </c>
    </row>
    <row r="165" spans="9:25" hidden="1">
      <c r="I165">
        <v>103</v>
      </c>
      <c r="J165" s="1">
        <v>3</v>
      </c>
      <c r="K165" s="1">
        <v>0</v>
      </c>
      <c r="L165" s="1">
        <v>1</v>
      </c>
      <c r="M165" s="1">
        <v>1</v>
      </c>
      <c r="N165">
        <f>INT(VLOOKUP($J165,$A$2:$G$6,2,0)*$L165/2)</f>
        <v>127</v>
      </c>
      <c r="O165">
        <f>INT(VLOOKUP($J165,$A$2:$G$6,3,0)*$L165/2)</f>
        <v>0</v>
      </c>
      <c r="P165">
        <f>INT(VLOOKUP($J165,$A$2:$G$6,4,0)*$L165/2)</f>
        <v>127</v>
      </c>
      <c r="Q165">
        <f>INT(VLOOKUP($K165,$A$2:$G$6,2,0)*$M165/2)</f>
        <v>0</v>
      </c>
      <c r="R165">
        <f>INT(VLOOKUP($K165,$A$2:$G$6,3,0)*$M165/2)</f>
        <v>0</v>
      </c>
      <c r="S165">
        <f>INT(VLOOKUP($K165,$A$2:$G$6,4,0)*$M165/2)</f>
        <v>0</v>
      </c>
      <c r="T165">
        <f>INT((N165+Q165)/2)</f>
        <v>63</v>
      </c>
      <c r="U165">
        <f>INT((O165+R165)/2)</f>
        <v>0</v>
      </c>
      <c r="V165">
        <f>INT((P165+S165)/2)</f>
        <v>63</v>
      </c>
      <c r="W165" t="str">
        <f t="shared" si="9"/>
        <v>3F003F</v>
      </c>
      <c r="X165" t="b">
        <f t="shared" si="10"/>
        <v>0</v>
      </c>
      <c r="Y165">
        <f t="shared" si="11"/>
        <v>0</v>
      </c>
    </row>
    <row r="166" spans="9:25" hidden="1">
      <c r="I166">
        <v>107</v>
      </c>
      <c r="J166" s="1">
        <v>2</v>
      </c>
      <c r="K166" s="1">
        <v>1</v>
      </c>
      <c r="L166" s="1">
        <v>1</v>
      </c>
      <c r="M166" s="1">
        <v>1</v>
      </c>
      <c r="N166">
        <f>INT(VLOOKUP($J166,$A$2:$G$6,2,0)*$L166/2)</f>
        <v>127</v>
      </c>
      <c r="O166">
        <f>INT(VLOOKUP($J166,$A$2:$G$6,3,0)*$L166/2)</f>
        <v>0</v>
      </c>
      <c r="P166">
        <f>INT(VLOOKUP($J166,$A$2:$G$6,4,0)*$L166/2)</f>
        <v>0</v>
      </c>
      <c r="Q166">
        <f>INT(VLOOKUP($K166,$A$2:$G$6,2,0)*$M166/2)</f>
        <v>0</v>
      </c>
      <c r="R166">
        <f>INT(VLOOKUP($K166,$A$2:$G$6,3,0)*$M166/2)</f>
        <v>0</v>
      </c>
      <c r="S166">
        <f>INT(VLOOKUP($K166,$A$2:$G$6,4,0)*$M166/2)</f>
        <v>127</v>
      </c>
      <c r="T166">
        <f>INT((N166+Q166)/2)</f>
        <v>63</v>
      </c>
      <c r="U166">
        <f>INT((O166+R166)/2)</f>
        <v>0</v>
      </c>
      <c r="V166">
        <f>INT((P166+S166)/2)</f>
        <v>63</v>
      </c>
      <c r="W166" t="str">
        <f t="shared" si="9"/>
        <v>3F003F</v>
      </c>
      <c r="X166" t="b">
        <f t="shared" si="10"/>
        <v>0</v>
      </c>
      <c r="Y166">
        <f t="shared" si="11"/>
        <v>0</v>
      </c>
    </row>
    <row r="167" spans="9:25" hidden="1">
      <c r="I167">
        <v>111</v>
      </c>
      <c r="J167" s="1">
        <v>1</v>
      </c>
      <c r="K167" s="1">
        <v>2</v>
      </c>
      <c r="L167" s="1">
        <v>1</v>
      </c>
      <c r="M167" s="1">
        <v>1</v>
      </c>
      <c r="N167">
        <f>INT(VLOOKUP($J167,$A$2:$G$6,2,0)*$L167/2)</f>
        <v>0</v>
      </c>
      <c r="O167">
        <f>INT(VLOOKUP($J167,$A$2:$G$6,3,0)*$L167/2)</f>
        <v>0</v>
      </c>
      <c r="P167">
        <f>INT(VLOOKUP($J167,$A$2:$G$6,4,0)*$L167/2)</f>
        <v>127</v>
      </c>
      <c r="Q167">
        <f>INT(VLOOKUP($K167,$A$2:$G$6,2,0)*$M167/2)</f>
        <v>127</v>
      </c>
      <c r="R167">
        <f>INT(VLOOKUP($K167,$A$2:$G$6,3,0)*$M167/2)</f>
        <v>0</v>
      </c>
      <c r="S167">
        <f>INT(VLOOKUP($K167,$A$2:$G$6,4,0)*$M167/2)</f>
        <v>0</v>
      </c>
      <c r="T167">
        <f>INT((N167+Q167)/2)</f>
        <v>63</v>
      </c>
      <c r="U167">
        <f>INT((O167+R167)/2)</f>
        <v>0</v>
      </c>
      <c r="V167">
        <f>INT((P167+S167)/2)</f>
        <v>63</v>
      </c>
      <c r="W167" t="str">
        <f t="shared" si="9"/>
        <v>3F003F</v>
      </c>
      <c r="X167" t="b">
        <f t="shared" si="10"/>
        <v>0</v>
      </c>
      <c r="Y167">
        <f t="shared" si="11"/>
        <v>0</v>
      </c>
    </row>
    <row r="168" spans="9:25" hidden="1">
      <c r="I168">
        <v>115</v>
      </c>
      <c r="J168" s="1">
        <v>0</v>
      </c>
      <c r="K168" s="1">
        <v>3</v>
      </c>
      <c r="L168" s="1">
        <v>1</v>
      </c>
      <c r="M168" s="1">
        <v>1</v>
      </c>
      <c r="N168">
        <f>INT(VLOOKUP($J168,$A$2:$G$6,2,0)*$L168/2)</f>
        <v>0</v>
      </c>
      <c r="O168">
        <f>INT(VLOOKUP($J168,$A$2:$G$6,3,0)*$L168/2)</f>
        <v>0</v>
      </c>
      <c r="P168">
        <f>INT(VLOOKUP($J168,$A$2:$G$6,4,0)*$L168/2)</f>
        <v>0</v>
      </c>
      <c r="Q168">
        <f>INT(VLOOKUP($K168,$A$2:$G$6,2,0)*$M168/2)</f>
        <v>127</v>
      </c>
      <c r="R168">
        <f>INT(VLOOKUP($K168,$A$2:$G$6,3,0)*$M168/2)</f>
        <v>0</v>
      </c>
      <c r="S168">
        <f>INT(VLOOKUP($K168,$A$2:$G$6,4,0)*$M168/2)</f>
        <v>127</v>
      </c>
      <c r="T168">
        <f>INT((N168+Q168)/2)</f>
        <v>63</v>
      </c>
      <c r="U168">
        <f>INT((O168+R168)/2)</f>
        <v>0</v>
      </c>
      <c r="V168">
        <f>INT((P168+S168)/2)</f>
        <v>63</v>
      </c>
      <c r="W168" t="str">
        <f t="shared" si="9"/>
        <v>3F003F</v>
      </c>
      <c r="X168" t="b">
        <f t="shared" si="10"/>
        <v>0</v>
      </c>
      <c r="Y168">
        <f t="shared" si="11"/>
        <v>0</v>
      </c>
    </row>
    <row r="169" spans="9:25" hidden="1">
      <c r="I169">
        <v>140</v>
      </c>
      <c r="J169" s="1">
        <v>0</v>
      </c>
      <c r="K169" s="1">
        <v>3</v>
      </c>
      <c r="L169" s="1">
        <v>2</v>
      </c>
      <c r="M169" s="1">
        <v>1</v>
      </c>
      <c r="N169">
        <f>INT(VLOOKUP($J169,$A$2:$G$6,2,0)*$L169/2)</f>
        <v>0</v>
      </c>
      <c r="O169">
        <f>INT(VLOOKUP($J169,$A$2:$G$6,3,0)*$L169/2)</f>
        <v>0</v>
      </c>
      <c r="P169">
        <f>INT(VLOOKUP($J169,$A$2:$G$6,4,0)*$L169/2)</f>
        <v>0</v>
      </c>
      <c r="Q169">
        <f>INT(VLOOKUP($K169,$A$2:$G$6,2,0)*$M169/2)</f>
        <v>127</v>
      </c>
      <c r="R169">
        <f>INT(VLOOKUP($K169,$A$2:$G$6,3,0)*$M169/2)</f>
        <v>0</v>
      </c>
      <c r="S169">
        <f>INT(VLOOKUP($K169,$A$2:$G$6,4,0)*$M169/2)</f>
        <v>127</v>
      </c>
      <c r="T169">
        <f>INT((N169+Q169)/2)</f>
        <v>63</v>
      </c>
      <c r="U169">
        <f>INT((O169+R169)/2)</f>
        <v>0</v>
      </c>
      <c r="V169">
        <f>INT((P169+S169)/2)</f>
        <v>63</v>
      </c>
      <c r="W169" t="str">
        <f t="shared" si="9"/>
        <v>3F003F</v>
      </c>
      <c r="X169" t="b">
        <f t="shared" si="10"/>
        <v>0</v>
      </c>
      <c r="Y169">
        <f t="shared" si="11"/>
        <v>0</v>
      </c>
    </row>
    <row r="170" spans="9:25" hidden="1">
      <c r="I170">
        <v>178</v>
      </c>
      <c r="J170" s="1">
        <v>3</v>
      </c>
      <c r="K170" s="1">
        <v>0</v>
      </c>
      <c r="L170" s="1">
        <v>1</v>
      </c>
      <c r="M170" s="1">
        <v>2</v>
      </c>
      <c r="N170">
        <f>INT(VLOOKUP($J170,$A$2:$G$6,2,0)*$L170/2)</f>
        <v>127</v>
      </c>
      <c r="O170">
        <f>INT(VLOOKUP($J170,$A$2:$G$6,3,0)*$L170/2)</f>
        <v>0</v>
      </c>
      <c r="P170">
        <f>INT(VLOOKUP($J170,$A$2:$G$6,4,0)*$L170/2)</f>
        <v>127</v>
      </c>
      <c r="Q170">
        <f>INT(VLOOKUP($K170,$A$2:$G$6,2,0)*$M170/2)</f>
        <v>0</v>
      </c>
      <c r="R170">
        <f>INT(VLOOKUP($K170,$A$2:$G$6,3,0)*$M170/2)</f>
        <v>0</v>
      </c>
      <c r="S170">
        <f>INT(VLOOKUP($K170,$A$2:$G$6,4,0)*$M170/2)</f>
        <v>0</v>
      </c>
      <c r="T170">
        <f>INT((N170+Q170)/2)</f>
        <v>63</v>
      </c>
      <c r="U170">
        <f>INT((O170+R170)/2)</f>
        <v>0</v>
      </c>
      <c r="V170">
        <f>INT((P170+S170)/2)</f>
        <v>63</v>
      </c>
      <c r="W170" t="str">
        <f t="shared" si="9"/>
        <v>3F003F</v>
      </c>
      <c r="X170" t="b">
        <f t="shared" si="10"/>
        <v>0</v>
      </c>
      <c r="Y170">
        <f t="shared" si="11"/>
        <v>0</v>
      </c>
    </row>
    <row r="171" spans="9:25" hidden="1">
      <c r="I171">
        <v>108</v>
      </c>
      <c r="J171" s="1">
        <v>3</v>
      </c>
      <c r="K171" s="1">
        <v>1</v>
      </c>
      <c r="L171" s="1">
        <v>1</v>
      </c>
      <c r="M171" s="1">
        <v>1</v>
      </c>
      <c r="N171">
        <f>INT(VLOOKUP($J171,$A$2:$G$6,2,0)*$L171/2)</f>
        <v>127</v>
      </c>
      <c r="O171">
        <f>INT(VLOOKUP($J171,$A$2:$G$6,3,0)*$L171/2)</f>
        <v>0</v>
      </c>
      <c r="P171">
        <f>INT(VLOOKUP($J171,$A$2:$G$6,4,0)*$L171/2)</f>
        <v>127</v>
      </c>
      <c r="Q171">
        <f>INT(VLOOKUP($K171,$A$2:$G$6,2,0)*$M171/2)</f>
        <v>0</v>
      </c>
      <c r="R171">
        <f>INT(VLOOKUP($K171,$A$2:$G$6,3,0)*$M171/2)</f>
        <v>0</v>
      </c>
      <c r="S171">
        <f>INT(VLOOKUP($K171,$A$2:$G$6,4,0)*$M171/2)</f>
        <v>127</v>
      </c>
      <c r="T171">
        <f>INT((N171+Q171)/2)</f>
        <v>63</v>
      </c>
      <c r="U171">
        <f>INT((O171+R171)/2)</f>
        <v>0</v>
      </c>
      <c r="V171">
        <f>INT((P171+S171)/2)</f>
        <v>127</v>
      </c>
      <c r="W171" t="str">
        <f t="shared" si="9"/>
        <v>3F007F</v>
      </c>
      <c r="X171" t="b">
        <f t="shared" si="10"/>
        <v>0</v>
      </c>
      <c r="Y171">
        <f t="shared" si="11"/>
        <v>1</v>
      </c>
    </row>
    <row r="172" spans="9:25" hidden="1">
      <c r="I172">
        <v>116</v>
      </c>
      <c r="J172" s="1">
        <v>1</v>
      </c>
      <c r="K172" s="1">
        <v>3</v>
      </c>
      <c r="L172" s="1">
        <v>1</v>
      </c>
      <c r="M172" s="1">
        <v>1</v>
      </c>
      <c r="N172">
        <f>INT(VLOOKUP($J172,$A$2:$G$6,2,0)*$L172/2)</f>
        <v>0</v>
      </c>
      <c r="O172">
        <f>INT(VLOOKUP($J172,$A$2:$G$6,3,0)*$L172/2)</f>
        <v>0</v>
      </c>
      <c r="P172">
        <f>INT(VLOOKUP($J172,$A$2:$G$6,4,0)*$L172/2)</f>
        <v>127</v>
      </c>
      <c r="Q172">
        <f>INT(VLOOKUP($K172,$A$2:$G$6,2,0)*$M172/2)</f>
        <v>127</v>
      </c>
      <c r="R172">
        <f>INT(VLOOKUP($K172,$A$2:$G$6,3,0)*$M172/2)</f>
        <v>0</v>
      </c>
      <c r="S172">
        <f>INT(VLOOKUP($K172,$A$2:$G$6,4,0)*$M172/2)</f>
        <v>127</v>
      </c>
      <c r="T172">
        <f>INT((N172+Q172)/2)</f>
        <v>63</v>
      </c>
      <c r="U172">
        <f>INT((O172+R172)/2)</f>
        <v>0</v>
      </c>
      <c r="V172">
        <f>INT((P172+S172)/2)</f>
        <v>127</v>
      </c>
      <c r="W172" t="str">
        <f t="shared" si="9"/>
        <v>3F007F</v>
      </c>
      <c r="X172" t="b">
        <f t="shared" si="10"/>
        <v>0</v>
      </c>
      <c r="Y172">
        <f t="shared" si="11"/>
        <v>0</v>
      </c>
    </row>
    <row r="173" spans="9:25" hidden="1">
      <c r="I173">
        <v>136</v>
      </c>
      <c r="J173" s="1">
        <v>1</v>
      </c>
      <c r="K173" s="1">
        <v>2</v>
      </c>
      <c r="L173" s="1">
        <v>2</v>
      </c>
      <c r="M173" s="1">
        <v>1</v>
      </c>
      <c r="N173">
        <f>INT(VLOOKUP($J173,$A$2:$G$6,2,0)*$L173/2)</f>
        <v>0</v>
      </c>
      <c r="O173">
        <f>INT(VLOOKUP($J173,$A$2:$G$6,3,0)*$L173/2)</f>
        <v>0</v>
      </c>
      <c r="P173">
        <f>INT(VLOOKUP($J173,$A$2:$G$6,4,0)*$L173/2)</f>
        <v>255</v>
      </c>
      <c r="Q173">
        <f>INT(VLOOKUP($K173,$A$2:$G$6,2,0)*$M173/2)</f>
        <v>127</v>
      </c>
      <c r="R173">
        <f>INT(VLOOKUP($K173,$A$2:$G$6,3,0)*$M173/2)</f>
        <v>0</v>
      </c>
      <c r="S173">
        <f>INT(VLOOKUP($K173,$A$2:$G$6,4,0)*$M173/2)</f>
        <v>0</v>
      </c>
      <c r="T173">
        <f>INT((N173+Q173)/2)</f>
        <v>63</v>
      </c>
      <c r="U173">
        <f>INT((O173+R173)/2)</f>
        <v>0</v>
      </c>
      <c r="V173">
        <f>INT((P173+S173)/2)</f>
        <v>127</v>
      </c>
      <c r="W173" t="str">
        <f t="shared" si="9"/>
        <v>3F007F</v>
      </c>
      <c r="X173" t="b">
        <f t="shared" si="10"/>
        <v>0</v>
      </c>
      <c r="Y173">
        <f t="shared" si="11"/>
        <v>0</v>
      </c>
    </row>
    <row r="174" spans="9:25" hidden="1">
      <c r="I174">
        <v>182</v>
      </c>
      <c r="J174" s="1">
        <v>2</v>
      </c>
      <c r="K174" s="1">
        <v>1</v>
      </c>
      <c r="L174" s="1">
        <v>1</v>
      </c>
      <c r="M174" s="1">
        <v>2</v>
      </c>
      <c r="N174">
        <f>INT(VLOOKUP($J174,$A$2:$G$6,2,0)*$L174/2)</f>
        <v>127</v>
      </c>
      <c r="O174">
        <f>INT(VLOOKUP($J174,$A$2:$G$6,3,0)*$L174/2)</f>
        <v>0</v>
      </c>
      <c r="P174">
        <f>INT(VLOOKUP($J174,$A$2:$G$6,4,0)*$L174/2)</f>
        <v>0</v>
      </c>
      <c r="Q174">
        <f>INT(VLOOKUP($K174,$A$2:$G$6,2,0)*$M174/2)</f>
        <v>0</v>
      </c>
      <c r="R174">
        <f>INT(VLOOKUP($K174,$A$2:$G$6,3,0)*$M174/2)</f>
        <v>0</v>
      </c>
      <c r="S174">
        <f>INT(VLOOKUP($K174,$A$2:$G$6,4,0)*$M174/2)</f>
        <v>255</v>
      </c>
      <c r="T174">
        <f>INT((N174+Q174)/2)</f>
        <v>63</v>
      </c>
      <c r="U174">
        <f>INT((O174+R174)/2)</f>
        <v>0</v>
      </c>
      <c r="V174">
        <f>INT((P174+S174)/2)</f>
        <v>127</v>
      </c>
      <c r="W174" t="str">
        <f t="shared" si="9"/>
        <v>3F007F</v>
      </c>
      <c r="X174" t="b">
        <f t="shared" si="10"/>
        <v>0</v>
      </c>
      <c r="Y174">
        <f t="shared" si="11"/>
        <v>0</v>
      </c>
    </row>
    <row r="175" spans="9:25" hidden="1">
      <c r="I175">
        <v>141</v>
      </c>
      <c r="J175" s="1">
        <v>1</v>
      </c>
      <c r="K175" s="1">
        <v>3</v>
      </c>
      <c r="L175" s="1">
        <v>2</v>
      </c>
      <c r="M175" s="1">
        <v>1</v>
      </c>
      <c r="N175">
        <f>INT(VLOOKUP($J175,$A$2:$G$6,2,0)*$L175/2)</f>
        <v>0</v>
      </c>
      <c r="O175">
        <f>INT(VLOOKUP($J175,$A$2:$G$6,3,0)*$L175/2)</f>
        <v>0</v>
      </c>
      <c r="P175">
        <f>INT(VLOOKUP($J175,$A$2:$G$6,4,0)*$L175/2)</f>
        <v>255</v>
      </c>
      <c r="Q175">
        <f>INT(VLOOKUP($K175,$A$2:$G$6,2,0)*$M175/2)</f>
        <v>127</v>
      </c>
      <c r="R175">
        <f>INT(VLOOKUP($K175,$A$2:$G$6,3,0)*$M175/2)</f>
        <v>0</v>
      </c>
      <c r="S175">
        <f>INT(VLOOKUP($K175,$A$2:$G$6,4,0)*$M175/2)</f>
        <v>127</v>
      </c>
      <c r="T175">
        <f>INT((N175+Q175)/2)</f>
        <v>63</v>
      </c>
      <c r="U175">
        <f>INT((O175+R175)/2)</f>
        <v>0</v>
      </c>
      <c r="V175">
        <f>INT((P175+S175)/2)</f>
        <v>191</v>
      </c>
      <c r="W175" t="str">
        <f t="shared" si="9"/>
        <v>3F00BF</v>
      </c>
      <c r="X175" t="b">
        <f t="shared" si="10"/>
        <v>0</v>
      </c>
      <c r="Y175">
        <f t="shared" si="11"/>
        <v>1</v>
      </c>
    </row>
    <row r="176" spans="9:25" hidden="1">
      <c r="I176">
        <v>183</v>
      </c>
      <c r="J176" s="1">
        <v>3</v>
      </c>
      <c r="K176" s="1">
        <v>1</v>
      </c>
      <c r="L176" s="1">
        <v>1</v>
      </c>
      <c r="M176" s="1">
        <v>2</v>
      </c>
      <c r="N176">
        <f>INT(VLOOKUP($J176,$A$2:$G$6,2,0)*$L176/2)</f>
        <v>127</v>
      </c>
      <c r="O176">
        <f>INT(VLOOKUP($J176,$A$2:$G$6,3,0)*$L176/2)</f>
        <v>0</v>
      </c>
      <c r="P176">
        <f>INT(VLOOKUP($J176,$A$2:$G$6,4,0)*$L176/2)</f>
        <v>127</v>
      </c>
      <c r="Q176">
        <f>INT(VLOOKUP($K176,$A$2:$G$6,2,0)*$M176/2)</f>
        <v>0</v>
      </c>
      <c r="R176">
        <f>INT(VLOOKUP($K176,$A$2:$G$6,3,0)*$M176/2)</f>
        <v>0</v>
      </c>
      <c r="S176">
        <f>INT(VLOOKUP($K176,$A$2:$G$6,4,0)*$M176/2)</f>
        <v>255</v>
      </c>
      <c r="T176">
        <f>INT((N176+Q176)/2)</f>
        <v>63</v>
      </c>
      <c r="U176">
        <f>INT((O176+R176)/2)</f>
        <v>0</v>
      </c>
      <c r="V176">
        <f>INT((P176+S176)/2)</f>
        <v>191</v>
      </c>
      <c r="W176" t="str">
        <f t="shared" si="9"/>
        <v>3F00BF</v>
      </c>
      <c r="X176" t="b">
        <f t="shared" si="10"/>
        <v>0</v>
      </c>
      <c r="Y176">
        <f t="shared" si="11"/>
        <v>0</v>
      </c>
    </row>
    <row r="177" spans="9:25" hidden="1">
      <c r="I177">
        <v>114</v>
      </c>
      <c r="J177" s="1">
        <v>4</v>
      </c>
      <c r="K177" s="1">
        <v>2</v>
      </c>
      <c r="L177" s="1">
        <v>1</v>
      </c>
      <c r="M177" s="1">
        <v>1</v>
      </c>
      <c r="N177">
        <f>INT(VLOOKUP($J177,$A$2:$G$6,2,0)*$L177/2)</f>
        <v>0</v>
      </c>
      <c r="O177">
        <f>INT(VLOOKUP($J177,$A$2:$G$6,3,0)*$L177/2)</f>
        <v>127</v>
      </c>
      <c r="P177">
        <f>INT(VLOOKUP($J177,$A$2:$G$6,4,0)*$L177/2)</f>
        <v>0</v>
      </c>
      <c r="Q177">
        <f>INT(VLOOKUP($K177,$A$2:$G$6,2,0)*$M177/2)</f>
        <v>127</v>
      </c>
      <c r="R177">
        <f>INT(VLOOKUP($K177,$A$2:$G$6,3,0)*$M177/2)</f>
        <v>0</v>
      </c>
      <c r="S177">
        <f>INT(VLOOKUP($K177,$A$2:$G$6,4,0)*$M177/2)</f>
        <v>0</v>
      </c>
      <c r="T177">
        <f>INT((N177+Q177)/2)</f>
        <v>63</v>
      </c>
      <c r="U177">
        <f>INT((O177+R177)/2)</f>
        <v>63</v>
      </c>
      <c r="V177">
        <f>INT((P177+S177)/2)</f>
        <v>0</v>
      </c>
      <c r="W177" t="str">
        <f t="shared" si="9"/>
        <v>3F3F00</v>
      </c>
      <c r="X177" t="b">
        <f t="shared" si="10"/>
        <v>0</v>
      </c>
      <c r="Y177">
        <f t="shared" si="11"/>
        <v>1</v>
      </c>
    </row>
    <row r="178" spans="9:25" hidden="1">
      <c r="I178">
        <v>122</v>
      </c>
      <c r="J178" s="1">
        <v>2</v>
      </c>
      <c r="K178" s="1">
        <v>4</v>
      </c>
      <c r="L178" s="1">
        <v>1</v>
      </c>
      <c r="M178" s="1">
        <v>1</v>
      </c>
      <c r="N178">
        <f>INT(VLOOKUP($J178,$A$2:$G$6,2,0)*$L178/2)</f>
        <v>127</v>
      </c>
      <c r="O178">
        <f>INT(VLOOKUP($J178,$A$2:$G$6,3,0)*$L178/2)</f>
        <v>0</v>
      </c>
      <c r="P178">
        <f>INT(VLOOKUP($J178,$A$2:$G$6,4,0)*$L178/2)</f>
        <v>0</v>
      </c>
      <c r="Q178">
        <f>INT(VLOOKUP($K178,$A$2:$G$6,2,0)*$M178/2)</f>
        <v>0</v>
      </c>
      <c r="R178">
        <f>INT(VLOOKUP($K178,$A$2:$G$6,3,0)*$M178/2)</f>
        <v>127</v>
      </c>
      <c r="S178">
        <f>INT(VLOOKUP($K178,$A$2:$G$6,4,0)*$M178/2)</f>
        <v>0</v>
      </c>
      <c r="T178">
        <f>INT((N178+Q178)/2)</f>
        <v>63</v>
      </c>
      <c r="U178">
        <f>INT((O178+R178)/2)</f>
        <v>63</v>
      </c>
      <c r="V178">
        <f>INT((P178+S178)/2)</f>
        <v>0</v>
      </c>
      <c r="W178" t="str">
        <f t="shared" si="9"/>
        <v>3F3F00</v>
      </c>
      <c r="X178" t="b">
        <f t="shared" si="10"/>
        <v>0</v>
      </c>
      <c r="Y178">
        <f t="shared" si="11"/>
        <v>0</v>
      </c>
    </row>
    <row r="179" spans="9:25" hidden="1">
      <c r="I179">
        <v>139</v>
      </c>
      <c r="J179" s="1">
        <v>4</v>
      </c>
      <c r="K179" s="1">
        <v>2</v>
      </c>
      <c r="L179" s="1">
        <v>2</v>
      </c>
      <c r="M179" s="1">
        <v>1</v>
      </c>
      <c r="N179">
        <f>INT(VLOOKUP($J179,$A$2:$G$6,2,0)*$L179/2)</f>
        <v>0</v>
      </c>
      <c r="O179">
        <f>INT(VLOOKUP($J179,$A$2:$G$6,3,0)*$L179/2)</f>
        <v>255</v>
      </c>
      <c r="P179">
        <f>INT(VLOOKUP($J179,$A$2:$G$6,4,0)*$L179/2)</f>
        <v>0</v>
      </c>
      <c r="Q179">
        <f>INT(VLOOKUP($K179,$A$2:$G$6,2,0)*$M179/2)</f>
        <v>127</v>
      </c>
      <c r="R179">
        <f>INT(VLOOKUP($K179,$A$2:$G$6,3,0)*$M179/2)</f>
        <v>0</v>
      </c>
      <c r="S179">
        <f>INT(VLOOKUP($K179,$A$2:$G$6,4,0)*$M179/2)</f>
        <v>0</v>
      </c>
      <c r="T179">
        <f>INT((N179+Q179)/2)</f>
        <v>63</v>
      </c>
      <c r="U179">
        <f>INT((O179+R179)/2)</f>
        <v>127</v>
      </c>
      <c r="V179">
        <f>INT((P179+S179)/2)</f>
        <v>0</v>
      </c>
      <c r="W179" t="str">
        <f t="shared" si="9"/>
        <v>3F7F00</v>
      </c>
      <c r="X179" t="b">
        <f t="shared" si="10"/>
        <v>0</v>
      </c>
      <c r="Y179">
        <f t="shared" si="11"/>
        <v>1</v>
      </c>
    </row>
    <row r="180" spans="9:25" hidden="1">
      <c r="I180">
        <v>197</v>
      </c>
      <c r="J180" s="1">
        <v>2</v>
      </c>
      <c r="K180" s="1">
        <v>4</v>
      </c>
      <c r="L180" s="1">
        <v>1</v>
      </c>
      <c r="M180" s="1">
        <v>2</v>
      </c>
      <c r="N180">
        <f>INT(VLOOKUP($J180,$A$2:$G$6,2,0)*$L180/2)</f>
        <v>127</v>
      </c>
      <c r="O180">
        <f>INT(VLOOKUP($J180,$A$2:$G$6,3,0)*$L180/2)</f>
        <v>0</v>
      </c>
      <c r="P180">
        <f>INT(VLOOKUP($J180,$A$2:$G$6,4,0)*$L180/2)</f>
        <v>0</v>
      </c>
      <c r="Q180">
        <f>INT(VLOOKUP($K180,$A$2:$G$6,2,0)*$M180/2)</f>
        <v>0</v>
      </c>
      <c r="R180">
        <f>INT(VLOOKUP($K180,$A$2:$G$6,3,0)*$M180/2)</f>
        <v>255</v>
      </c>
      <c r="S180">
        <f>INT(VLOOKUP($K180,$A$2:$G$6,4,0)*$M180/2)</f>
        <v>0</v>
      </c>
      <c r="T180">
        <f>INT((N180+Q180)/2)</f>
        <v>63</v>
      </c>
      <c r="U180">
        <f>INT((O180+R180)/2)</f>
        <v>127</v>
      </c>
      <c r="V180">
        <f>INT((P180+S180)/2)</f>
        <v>0</v>
      </c>
      <c r="W180" t="str">
        <f t="shared" si="9"/>
        <v>3F7F00</v>
      </c>
      <c r="X180" t="b">
        <f t="shared" si="10"/>
        <v>0</v>
      </c>
      <c r="Y180">
        <f t="shared" si="11"/>
        <v>0</v>
      </c>
    </row>
    <row r="181" spans="9:25" hidden="1">
      <c r="I181">
        <v>113</v>
      </c>
      <c r="J181" s="1">
        <v>3</v>
      </c>
      <c r="K181" s="1">
        <v>2</v>
      </c>
      <c r="L181" s="1">
        <v>1</v>
      </c>
      <c r="M181" s="1">
        <v>1</v>
      </c>
      <c r="N181">
        <f>INT(VLOOKUP($J181,$A$2:$G$6,2,0)*$L181/2)</f>
        <v>127</v>
      </c>
      <c r="O181">
        <f>INT(VLOOKUP($J181,$A$2:$G$6,3,0)*$L181/2)</f>
        <v>0</v>
      </c>
      <c r="P181">
        <f>INT(VLOOKUP($J181,$A$2:$G$6,4,0)*$L181/2)</f>
        <v>127</v>
      </c>
      <c r="Q181">
        <f>INT(VLOOKUP($K181,$A$2:$G$6,2,0)*$M181/2)</f>
        <v>127</v>
      </c>
      <c r="R181">
        <f>INT(VLOOKUP($K181,$A$2:$G$6,3,0)*$M181/2)</f>
        <v>0</v>
      </c>
      <c r="S181">
        <f>INT(VLOOKUP($K181,$A$2:$G$6,4,0)*$M181/2)</f>
        <v>0</v>
      </c>
      <c r="T181">
        <f>INT((N181+Q181)/2)</f>
        <v>127</v>
      </c>
      <c r="U181">
        <f>INT((O181+R181)/2)</f>
        <v>0</v>
      </c>
      <c r="V181">
        <f>INT((P181+S181)/2)</f>
        <v>63</v>
      </c>
      <c r="W181" t="str">
        <f t="shared" si="9"/>
        <v>7F003F</v>
      </c>
      <c r="X181" t="b">
        <f t="shared" si="10"/>
        <v>0</v>
      </c>
      <c r="Y181">
        <f t="shared" si="11"/>
        <v>1</v>
      </c>
    </row>
    <row r="182" spans="9:25" hidden="1">
      <c r="I182">
        <v>117</v>
      </c>
      <c r="J182" s="1">
        <v>2</v>
      </c>
      <c r="K182" s="1">
        <v>3</v>
      </c>
      <c r="L182" s="1">
        <v>1</v>
      </c>
      <c r="M182" s="1">
        <v>1</v>
      </c>
      <c r="N182">
        <f>INT(VLOOKUP($J182,$A$2:$G$6,2,0)*$L182/2)</f>
        <v>127</v>
      </c>
      <c r="O182">
        <f>INT(VLOOKUP($J182,$A$2:$G$6,3,0)*$L182/2)</f>
        <v>0</v>
      </c>
      <c r="P182">
        <f>INT(VLOOKUP($J182,$A$2:$G$6,4,0)*$L182/2)</f>
        <v>0</v>
      </c>
      <c r="Q182">
        <f>INT(VLOOKUP($K182,$A$2:$G$6,2,0)*$M182/2)</f>
        <v>127</v>
      </c>
      <c r="R182">
        <f>INT(VLOOKUP($K182,$A$2:$G$6,3,0)*$M182/2)</f>
        <v>0</v>
      </c>
      <c r="S182">
        <f>INT(VLOOKUP($K182,$A$2:$G$6,4,0)*$M182/2)</f>
        <v>127</v>
      </c>
      <c r="T182">
        <f>INT((N182+Q182)/2)</f>
        <v>127</v>
      </c>
      <c r="U182">
        <f>INT((O182+R182)/2)</f>
        <v>0</v>
      </c>
      <c r="V182">
        <f>INT((P182+S182)/2)</f>
        <v>63</v>
      </c>
      <c r="W182" t="str">
        <f t="shared" si="9"/>
        <v>7F003F</v>
      </c>
      <c r="X182" t="b">
        <f t="shared" si="10"/>
        <v>0</v>
      </c>
      <c r="Y182">
        <f t="shared" si="11"/>
        <v>0</v>
      </c>
    </row>
    <row r="183" spans="9:25" hidden="1">
      <c r="I183">
        <v>132</v>
      </c>
      <c r="J183" s="1">
        <v>2</v>
      </c>
      <c r="K183" s="1">
        <v>1</v>
      </c>
      <c r="L183" s="1">
        <v>2</v>
      </c>
      <c r="M183" s="1">
        <v>1</v>
      </c>
      <c r="N183">
        <f>INT(VLOOKUP($J183,$A$2:$G$6,2,0)*$L183/2)</f>
        <v>255</v>
      </c>
      <c r="O183">
        <f>INT(VLOOKUP($J183,$A$2:$G$6,3,0)*$L183/2)</f>
        <v>0</v>
      </c>
      <c r="P183">
        <f>INT(VLOOKUP($J183,$A$2:$G$6,4,0)*$L183/2)</f>
        <v>0</v>
      </c>
      <c r="Q183">
        <f>INT(VLOOKUP($K183,$A$2:$G$6,2,0)*$M183/2)</f>
        <v>0</v>
      </c>
      <c r="R183">
        <f>INT(VLOOKUP($K183,$A$2:$G$6,3,0)*$M183/2)</f>
        <v>0</v>
      </c>
      <c r="S183">
        <f>INT(VLOOKUP($K183,$A$2:$G$6,4,0)*$M183/2)</f>
        <v>127</v>
      </c>
      <c r="T183">
        <f>INT((N183+Q183)/2)</f>
        <v>127</v>
      </c>
      <c r="U183">
        <f>INT((O183+R183)/2)</f>
        <v>0</v>
      </c>
      <c r="V183">
        <f>INT((P183+S183)/2)</f>
        <v>63</v>
      </c>
      <c r="W183" t="str">
        <f t="shared" si="9"/>
        <v>7F003F</v>
      </c>
      <c r="X183" t="b">
        <f t="shared" si="10"/>
        <v>0</v>
      </c>
      <c r="Y183">
        <f t="shared" si="11"/>
        <v>0</v>
      </c>
    </row>
    <row r="184" spans="9:25" hidden="1">
      <c r="I184">
        <v>186</v>
      </c>
      <c r="J184" s="1">
        <v>1</v>
      </c>
      <c r="K184" s="1">
        <v>2</v>
      </c>
      <c r="L184" s="1">
        <v>1</v>
      </c>
      <c r="M184" s="1">
        <v>2</v>
      </c>
      <c r="N184">
        <f>INT(VLOOKUP($J184,$A$2:$G$6,2,0)*$L184/2)</f>
        <v>0</v>
      </c>
      <c r="O184">
        <f>INT(VLOOKUP($J184,$A$2:$G$6,3,0)*$L184/2)</f>
        <v>0</v>
      </c>
      <c r="P184">
        <f>INT(VLOOKUP($J184,$A$2:$G$6,4,0)*$L184/2)</f>
        <v>127</v>
      </c>
      <c r="Q184">
        <f>INT(VLOOKUP($K184,$A$2:$G$6,2,0)*$M184/2)</f>
        <v>255</v>
      </c>
      <c r="R184">
        <f>INT(VLOOKUP($K184,$A$2:$G$6,3,0)*$M184/2)</f>
        <v>0</v>
      </c>
      <c r="S184">
        <f>INT(VLOOKUP($K184,$A$2:$G$6,4,0)*$M184/2)</f>
        <v>0</v>
      </c>
      <c r="T184">
        <f>INT((N184+Q184)/2)</f>
        <v>127</v>
      </c>
      <c r="U184">
        <f>INT((O184+R184)/2)</f>
        <v>0</v>
      </c>
      <c r="V184">
        <f>INT((P184+S184)/2)</f>
        <v>63</v>
      </c>
      <c r="W184" t="str">
        <f t="shared" si="9"/>
        <v>7F003F</v>
      </c>
      <c r="X184" t="b">
        <f t="shared" si="10"/>
        <v>0</v>
      </c>
      <c r="Y184">
        <f t="shared" si="11"/>
        <v>0</v>
      </c>
    </row>
    <row r="185" spans="9:25" hidden="1">
      <c r="I185">
        <v>53</v>
      </c>
      <c r="J185" s="1">
        <v>3</v>
      </c>
      <c r="K185" s="1">
        <v>0</v>
      </c>
      <c r="L185" s="1">
        <v>2</v>
      </c>
      <c r="M185" s="1">
        <v>0</v>
      </c>
      <c r="N185">
        <f>INT(VLOOKUP($J185,$A$2:$G$6,2,0)*$L185/2)</f>
        <v>255</v>
      </c>
      <c r="O185">
        <f>INT(VLOOKUP($J185,$A$2:$G$6,3,0)*$L185/2)</f>
        <v>0</v>
      </c>
      <c r="P185">
        <f>INT(VLOOKUP($J185,$A$2:$G$6,4,0)*$L185/2)</f>
        <v>255</v>
      </c>
      <c r="Q185">
        <f>INT(VLOOKUP($K185,$A$2:$G$6,2,0)*$M185/2)</f>
        <v>0</v>
      </c>
      <c r="R185">
        <f>INT(VLOOKUP($K185,$A$2:$G$6,3,0)*$M185/2)</f>
        <v>0</v>
      </c>
      <c r="S185">
        <f>INT(VLOOKUP($K185,$A$2:$G$6,4,0)*$M185/2)</f>
        <v>0</v>
      </c>
      <c r="T185">
        <f>INT((N185+Q185)/2)</f>
        <v>127</v>
      </c>
      <c r="U185">
        <f>INT((O185+R185)/2)</f>
        <v>0</v>
      </c>
      <c r="V185">
        <f>INT((P185+S185)/2)</f>
        <v>127</v>
      </c>
      <c r="W185" t="str">
        <f t="shared" si="9"/>
        <v>7F007F</v>
      </c>
      <c r="X185" t="b">
        <f t="shared" si="10"/>
        <v>0</v>
      </c>
      <c r="Y185">
        <f t="shared" si="11"/>
        <v>1</v>
      </c>
    </row>
    <row r="186" spans="9:25" hidden="1">
      <c r="I186">
        <v>58</v>
      </c>
      <c r="J186" s="1">
        <v>3</v>
      </c>
      <c r="K186" s="1">
        <v>1</v>
      </c>
      <c r="L186" s="1">
        <v>2</v>
      </c>
      <c r="M186" s="1">
        <v>0</v>
      </c>
      <c r="N186">
        <f>INT(VLOOKUP($J186,$A$2:$G$6,2,0)*$L186/2)</f>
        <v>255</v>
      </c>
      <c r="O186">
        <f>INT(VLOOKUP($J186,$A$2:$G$6,3,0)*$L186/2)</f>
        <v>0</v>
      </c>
      <c r="P186">
        <f>INT(VLOOKUP($J186,$A$2:$G$6,4,0)*$L186/2)</f>
        <v>255</v>
      </c>
      <c r="Q186">
        <f>INT(VLOOKUP($K186,$A$2:$G$6,2,0)*$M186/2)</f>
        <v>0</v>
      </c>
      <c r="R186">
        <f>INT(VLOOKUP($K186,$A$2:$G$6,3,0)*$M186/2)</f>
        <v>0</v>
      </c>
      <c r="S186">
        <f>INT(VLOOKUP($K186,$A$2:$G$6,4,0)*$M186/2)</f>
        <v>0</v>
      </c>
      <c r="T186">
        <f>INT((N186+Q186)/2)</f>
        <v>127</v>
      </c>
      <c r="U186">
        <f>INT((O186+R186)/2)</f>
        <v>0</v>
      </c>
      <c r="V186">
        <f>INT((P186+S186)/2)</f>
        <v>127</v>
      </c>
      <c r="W186" t="str">
        <f t="shared" si="9"/>
        <v>7F007F</v>
      </c>
      <c r="X186" t="b">
        <f t="shared" si="10"/>
        <v>0</v>
      </c>
      <c r="Y186">
        <f t="shared" si="11"/>
        <v>0</v>
      </c>
    </row>
    <row r="187" spans="9:25" hidden="1">
      <c r="I187">
        <v>63</v>
      </c>
      <c r="J187" s="1">
        <v>3</v>
      </c>
      <c r="K187" s="1">
        <v>2</v>
      </c>
      <c r="L187" s="1">
        <v>2</v>
      </c>
      <c r="M187" s="1">
        <v>0</v>
      </c>
      <c r="N187">
        <f>INT(VLOOKUP($J187,$A$2:$G$6,2,0)*$L187/2)</f>
        <v>255</v>
      </c>
      <c r="O187">
        <f>INT(VLOOKUP($J187,$A$2:$G$6,3,0)*$L187/2)</f>
        <v>0</v>
      </c>
      <c r="P187">
        <f>INT(VLOOKUP($J187,$A$2:$G$6,4,0)*$L187/2)</f>
        <v>255</v>
      </c>
      <c r="Q187">
        <f>INT(VLOOKUP($K187,$A$2:$G$6,2,0)*$M187/2)</f>
        <v>0</v>
      </c>
      <c r="R187">
        <f>INT(VLOOKUP($K187,$A$2:$G$6,3,0)*$M187/2)</f>
        <v>0</v>
      </c>
      <c r="S187">
        <f>INT(VLOOKUP($K187,$A$2:$G$6,4,0)*$M187/2)</f>
        <v>0</v>
      </c>
      <c r="T187">
        <f>INT((N187+Q187)/2)</f>
        <v>127</v>
      </c>
      <c r="U187">
        <f>INT((O187+R187)/2)</f>
        <v>0</v>
      </c>
      <c r="V187">
        <f>INT((P187+S187)/2)</f>
        <v>127</v>
      </c>
      <c r="W187" t="str">
        <f t="shared" si="9"/>
        <v>7F007F</v>
      </c>
      <c r="X187" t="b">
        <f t="shared" si="10"/>
        <v>0</v>
      </c>
      <c r="Y187">
        <f t="shared" si="11"/>
        <v>0</v>
      </c>
    </row>
    <row r="188" spans="9:25" hidden="1">
      <c r="I188">
        <v>68</v>
      </c>
      <c r="J188" s="1">
        <v>3</v>
      </c>
      <c r="K188" s="1">
        <v>3</v>
      </c>
      <c r="L188" s="1">
        <v>2</v>
      </c>
      <c r="M188" s="1">
        <v>0</v>
      </c>
      <c r="N188">
        <f>INT(VLOOKUP($J188,$A$2:$G$6,2,0)*$L188/2)</f>
        <v>255</v>
      </c>
      <c r="O188">
        <f>INT(VLOOKUP($J188,$A$2:$G$6,3,0)*$L188/2)</f>
        <v>0</v>
      </c>
      <c r="P188">
        <f>INT(VLOOKUP($J188,$A$2:$G$6,4,0)*$L188/2)</f>
        <v>255</v>
      </c>
      <c r="Q188">
        <f>INT(VLOOKUP($K188,$A$2:$G$6,2,0)*$M188/2)</f>
        <v>0</v>
      </c>
      <c r="R188">
        <f>INT(VLOOKUP($K188,$A$2:$G$6,3,0)*$M188/2)</f>
        <v>0</v>
      </c>
      <c r="S188">
        <f>INT(VLOOKUP($K188,$A$2:$G$6,4,0)*$M188/2)</f>
        <v>0</v>
      </c>
      <c r="T188">
        <f>INT((N188+Q188)/2)</f>
        <v>127</v>
      </c>
      <c r="U188">
        <f>INT((O188+R188)/2)</f>
        <v>0</v>
      </c>
      <c r="V188">
        <f>INT((P188+S188)/2)</f>
        <v>127</v>
      </c>
      <c r="W188" t="str">
        <f t="shared" si="9"/>
        <v>7F007F</v>
      </c>
      <c r="X188" t="b">
        <f t="shared" si="10"/>
        <v>0</v>
      </c>
      <c r="Y188">
        <f t="shared" si="11"/>
        <v>0</v>
      </c>
    </row>
    <row r="189" spans="9:25" hidden="1">
      <c r="I189">
        <v>73</v>
      </c>
      <c r="J189" s="1">
        <v>3</v>
      </c>
      <c r="K189" s="1">
        <v>4</v>
      </c>
      <c r="L189" s="1">
        <v>2</v>
      </c>
      <c r="M189" s="1">
        <v>0</v>
      </c>
      <c r="N189">
        <f>INT(VLOOKUP($J189,$A$2:$G$6,2,0)*$L189/2)</f>
        <v>255</v>
      </c>
      <c r="O189">
        <f>INT(VLOOKUP($J189,$A$2:$G$6,3,0)*$L189/2)</f>
        <v>0</v>
      </c>
      <c r="P189">
        <f>INT(VLOOKUP($J189,$A$2:$G$6,4,0)*$L189/2)</f>
        <v>255</v>
      </c>
      <c r="Q189">
        <f>INT(VLOOKUP($K189,$A$2:$G$6,2,0)*$M189/2)</f>
        <v>0</v>
      </c>
      <c r="R189">
        <f>INT(VLOOKUP($K189,$A$2:$G$6,3,0)*$M189/2)</f>
        <v>0</v>
      </c>
      <c r="S189">
        <f>INT(VLOOKUP($K189,$A$2:$G$6,4,0)*$M189/2)</f>
        <v>0</v>
      </c>
      <c r="T189">
        <f>INT((N189+Q189)/2)</f>
        <v>127</v>
      </c>
      <c r="U189">
        <f>INT((O189+R189)/2)</f>
        <v>0</v>
      </c>
      <c r="V189">
        <f>INT((P189+S189)/2)</f>
        <v>127</v>
      </c>
      <c r="W189" t="str">
        <f t="shared" si="9"/>
        <v>7F007F</v>
      </c>
      <c r="X189" t="b">
        <f t="shared" si="10"/>
        <v>0</v>
      </c>
      <c r="Y189">
        <f t="shared" si="11"/>
        <v>0</v>
      </c>
    </row>
    <row r="190" spans="9:25">
      <c r="I190">
        <v>118</v>
      </c>
      <c r="J190" s="1">
        <v>3</v>
      </c>
      <c r="K190" s="1">
        <v>3</v>
      </c>
      <c r="L190" s="1">
        <v>1</v>
      </c>
      <c r="M190" s="1">
        <v>1</v>
      </c>
      <c r="N190">
        <f>INT(VLOOKUP($J190,$A$2:$G$6,2,0)*$L190/2)</f>
        <v>127</v>
      </c>
      <c r="O190">
        <f>INT(VLOOKUP($J190,$A$2:$G$6,3,0)*$L190/2)</f>
        <v>0</v>
      </c>
      <c r="P190">
        <f>INT(VLOOKUP($J190,$A$2:$G$6,4,0)*$L190/2)</f>
        <v>127</v>
      </c>
      <c r="Q190">
        <f>INT(VLOOKUP($K190,$A$2:$G$6,2,0)*$M190/2)</f>
        <v>127</v>
      </c>
      <c r="R190">
        <f>INT(VLOOKUP($K190,$A$2:$G$6,3,0)*$M190/2)</f>
        <v>0</v>
      </c>
      <c r="S190">
        <f>INT(VLOOKUP($K190,$A$2:$G$6,4,0)*$M190/2)</f>
        <v>127</v>
      </c>
      <c r="T190">
        <f>INT((N190+Q190)/2)</f>
        <v>127</v>
      </c>
      <c r="U190">
        <f>INT((O190+R190)/2)</f>
        <v>0</v>
      </c>
      <c r="V190">
        <f>INT((P190+S190)/2)</f>
        <v>127</v>
      </c>
      <c r="W190" t="str">
        <f t="shared" si="9"/>
        <v>7F007F</v>
      </c>
      <c r="X190" t="b">
        <f t="shared" si="10"/>
        <v>1</v>
      </c>
      <c r="Y190">
        <f t="shared" si="11"/>
        <v>0</v>
      </c>
    </row>
    <row r="191" spans="9:25" hidden="1">
      <c r="I191">
        <v>128</v>
      </c>
      <c r="J191" s="1">
        <v>3</v>
      </c>
      <c r="K191" s="1">
        <v>0</v>
      </c>
      <c r="L191" s="1">
        <v>2</v>
      </c>
      <c r="M191" s="1">
        <v>1</v>
      </c>
      <c r="N191">
        <f>INT(VLOOKUP($J191,$A$2:$G$6,2,0)*$L191/2)</f>
        <v>255</v>
      </c>
      <c r="O191">
        <f>INT(VLOOKUP($J191,$A$2:$G$6,3,0)*$L191/2)</f>
        <v>0</v>
      </c>
      <c r="P191">
        <f>INT(VLOOKUP($J191,$A$2:$G$6,4,0)*$L191/2)</f>
        <v>255</v>
      </c>
      <c r="Q191">
        <f>INT(VLOOKUP($K191,$A$2:$G$6,2,0)*$M191/2)</f>
        <v>0</v>
      </c>
      <c r="R191">
        <f>INT(VLOOKUP($K191,$A$2:$G$6,3,0)*$M191/2)</f>
        <v>0</v>
      </c>
      <c r="S191">
        <f>INT(VLOOKUP($K191,$A$2:$G$6,4,0)*$M191/2)</f>
        <v>0</v>
      </c>
      <c r="T191">
        <f>INT((N191+Q191)/2)</f>
        <v>127</v>
      </c>
      <c r="U191">
        <f>INT((O191+R191)/2)</f>
        <v>0</v>
      </c>
      <c r="V191">
        <f>INT((P191+S191)/2)</f>
        <v>127</v>
      </c>
      <c r="W191" t="str">
        <f t="shared" si="9"/>
        <v>7F007F</v>
      </c>
      <c r="X191" t="b">
        <f t="shared" si="10"/>
        <v>0</v>
      </c>
      <c r="Y191">
        <f t="shared" si="11"/>
        <v>0</v>
      </c>
    </row>
    <row r="192" spans="9:25" hidden="1">
      <c r="I192">
        <v>165</v>
      </c>
      <c r="J192" s="1">
        <v>0</v>
      </c>
      <c r="K192" s="1">
        <v>3</v>
      </c>
      <c r="L192" s="1">
        <v>0</v>
      </c>
      <c r="M192" s="1">
        <v>2</v>
      </c>
      <c r="N192">
        <f>INT(VLOOKUP($J192,$A$2:$G$6,2,0)*$L192/2)</f>
        <v>0</v>
      </c>
      <c r="O192">
        <f>INT(VLOOKUP($J192,$A$2:$G$6,3,0)*$L192/2)</f>
        <v>0</v>
      </c>
      <c r="P192">
        <f>INT(VLOOKUP($J192,$A$2:$G$6,4,0)*$L192/2)</f>
        <v>0</v>
      </c>
      <c r="Q192">
        <f>INT(VLOOKUP($K192,$A$2:$G$6,2,0)*$M192/2)</f>
        <v>255</v>
      </c>
      <c r="R192">
        <f>INT(VLOOKUP($K192,$A$2:$G$6,3,0)*$M192/2)</f>
        <v>0</v>
      </c>
      <c r="S192">
        <f>INT(VLOOKUP($K192,$A$2:$G$6,4,0)*$M192/2)</f>
        <v>255</v>
      </c>
      <c r="T192">
        <f>INT((N192+Q192)/2)</f>
        <v>127</v>
      </c>
      <c r="U192">
        <f>INT((O192+R192)/2)</f>
        <v>0</v>
      </c>
      <c r="V192">
        <f>INT((P192+S192)/2)</f>
        <v>127</v>
      </c>
      <c r="W192" t="str">
        <f t="shared" si="9"/>
        <v>7F007F</v>
      </c>
      <c r="X192" t="b">
        <f t="shared" si="10"/>
        <v>0</v>
      </c>
      <c r="Y192">
        <f t="shared" si="11"/>
        <v>0</v>
      </c>
    </row>
    <row r="193" spans="9:25" hidden="1">
      <c r="I193">
        <v>166</v>
      </c>
      <c r="J193" s="1">
        <v>1</v>
      </c>
      <c r="K193" s="1">
        <v>3</v>
      </c>
      <c r="L193" s="1">
        <v>0</v>
      </c>
      <c r="M193" s="1">
        <v>2</v>
      </c>
      <c r="N193">
        <f>INT(VLOOKUP($J193,$A$2:$G$6,2,0)*$L193/2)</f>
        <v>0</v>
      </c>
      <c r="O193">
        <f>INT(VLOOKUP($J193,$A$2:$G$6,3,0)*$L193/2)</f>
        <v>0</v>
      </c>
      <c r="P193">
        <f>INT(VLOOKUP($J193,$A$2:$G$6,4,0)*$L193/2)</f>
        <v>0</v>
      </c>
      <c r="Q193">
        <f>INT(VLOOKUP($K193,$A$2:$G$6,2,0)*$M193/2)</f>
        <v>255</v>
      </c>
      <c r="R193">
        <f>INT(VLOOKUP($K193,$A$2:$G$6,3,0)*$M193/2)</f>
        <v>0</v>
      </c>
      <c r="S193">
        <f>INT(VLOOKUP($K193,$A$2:$G$6,4,0)*$M193/2)</f>
        <v>255</v>
      </c>
      <c r="T193">
        <f>INT((N193+Q193)/2)</f>
        <v>127</v>
      </c>
      <c r="U193">
        <f>INT((O193+R193)/2)</f>
        <v>0</v>
      </c>
      <c r="V193">
        <f>INT((P193+S193)/2)</f>
        <v>127</v>
      </c>
      <c r="W193" t="str">
        <f t="shared" si="9"/>
        <v>7F007F</v>
      </c>
      <c r="X193" t="b">
        <f t="shared" si="10"/>
        <v>0</v>
      </c>
      <c r="Y193">
        <f t="shared" si="11"/>
        <v>0</v>
      </c>
    </row>
    <row r="194" spans="9:25" hidden="1">
      <c r="I194">
        <v>167</v>
      </c>
      <c r="J194" s="1">
        <v>2</v>
      </c>
      <c r="K194" s="1">
        <v>3</v>
      </c>
      <c r="L194" s="1">
        <v>0</v>
      </c>
      <c r="M194" s="1">
        <v>2</v>
      </c>
      <c r="N194">
        <f>INT(VLOOKUP($J194,$A$2:$G$6,2,0)*$L194/2)</f>
        <v>0</v>
      </c>
      <c r="O194">
        <f>INT(VLOOKUP($J194,$A$2:$G$6,3,0)*$L194/2)</f>
        <v>0</v>
      </c>
      <c r="P194">
        <f>INT(VLOOKUP($J194,$A$2:$G$6,4,0)*$L194/2)</f>
        <v>0</v>
      </c>
      <c r="Q194">
        <f>INT(VLOOKUP($K194,$A$2:$G$6,2,0)*$M194/2)</f>
        <v>255</v>
      </c>
      <c r="R194">
        <f>INT(VLOOKUP($K194,$A$2:$G$6,3,0)*$M194/2)</f>
        <v>0</v>
      </c>
      <c r="S194">
        <f>INT(VLOOKUP($K194,$A$2:$G$6,4,0)*$M194/2)</f>
        <v>255</v>
      </c>
      <c r="T194">
        <f>INT((N194+Q194)/2)</f>
        <v>127</v>
      </c>
      <c r="U194">
        <f>INT((O194+R194)/2)</f>
        <v>0</v>
      </c>
      <c r="V194">
        <f>INT((P194+S194)/2)</f>
        <v>127</v>
      </c>
      <c r="W194" t="str">
        <f t="shared" si="9"/>
        <v>7F007F</v>
      </c>
      <c r="X194" t="b">
        <f t="shared" si="10"/>
        <v>0</v>
      </c>
      <c r="Y194">
        <f t="shared" si="11"/>
        <v>0</v>
      </c>
    </row>
    <row r="195" spans="9:25" hidden="1">
      <c r="I195">
        <v>168</v>
      </c>
      <c r="J195" s="1">
        <v>3</v>
      </c>
      <c r="K195" s="1">
        <v>3</v>
      </c>
      <c r="L195" s="1">
        <v>0</v>
      </c>
      <c r="M195" s="1">
        <v>2</v>
      </c>
      <c r="N195">
        <f>INT(VLOOKUP($J195,$A$2:$G$6,2,0)*$L195/2)</f>
        <v>0</v>
      </c>
      <c r="O195">
        <f>INT(VLOOKUP($J195,$A$2:$G$6,3,0)*$L195/2)</f>
        <v>0</v>
      </c>
      <c r="P195">
        <f>INT(VLOOKUP($J195,$A$2:$G$6,4,0)*$L195/2)</f>
        <v>0</v>
      </c>
      <c r="Q195">
        <f>INT(VLOOKUP($K195,$A$2:$G$6,2,0)*$M195/2)</f>
        <v>255</v>
      </c>
      <c r="R195">
        <f>INT(VLOOKUP($K195,$A$2:$G$6,3,0)*$M195/2)</f>
        <v>0</v>
      </c>
      <c r="S195">
        <f>INT(VLOOKUP($K195,$A$2:$G$6,4,0)*$M195/2)</f>
        <v>255</v>
      </c>
      <c r="T195">
        <f>INT((N195+Q195)/2)</f>
        <v>127</v>
      </c>
      <c r="U195">
        <f>INT((O195+R195)/2)</f>
        <v>0</v>
      </c>
      <c r="V195">
        <f>INT((P195+S195)/2)</f>
        <v>127</v>
      </c>
      <c r="W195" t="str">
        <f t="shared" ref="W195:W226" si="12">DEC2HEX(T195,2)&amp;DEC2HEX(U195,2)&amp;DEC2HEX(V195,2)</f>
        <v>7F007F</v>
      </c>
      <c r="X195" t="b">
        <f t="shared" ref="X195:X226" si="13">AND(J195=K195,L195=1,M195=1)</f>
        <v>0</v>
      </c>
      <c r="Y195">
        <f t="shared" ref="Y195:Y226" si="14">INT(W195&lt;&gt;W194)</f>
        <v>0</v>
      </c>
    </row>
    <row r="196" spans="9:25" hidden="1">
      <c r="I196">
        <v>169</v>
      </c>
      <c r="J196" s="1">
        <v>4</v>
      </c>
      <c r="K196" s="1">
        <v>3</v>
      </c>
      <c r="L196" s="1">
        <v>0</v>
      </c>
      <c r="M196" s="1">
        <v>2</v>
      </c>
      <c r="N196">
        <f>INT(VLOOKUP($J196,$A$2:$G$6,2,0)*$L196/2)</f>
        <v>0</v>
      </c>
      <c r="O196">
        <f>INT(VLOOKUP($J196,$A$2:$G$6,3,0)*$L196/2)</f>
        <v>0</v>
      </c>
      <c r="P196">
        <f>INT(VLOOKUP($J196,$A$2:$G$6,4,0)*$L196/2)</f>
        <v>0</v>
      </c>
      <c r="Q196">
        <f>INT(VLOOKUP($K196,$A$2:$G$6,2,0)*$M196/2)</f>
        <v>255</v>
      </c>
      <c r="R196">
        <f>INT(VLOOKUP($K196,$A$2:$G$6,3,0)*$M196/2)</f>
        <v>0</v>
      </c>
      <c r="S196">
        <f>INT(VLOOKUP($K196,$A$2:$G$6,4,0)*$M196/2)</f>
        <v>255</v>
      </c>
      <c r="T196">
        <f>INT((N196+Q196)/2)</f>
        <v>127</v>
      </c>
      <c r="U196">
        <f>INT((O196+R196)/2)</f>
        <v>0</v>
      </c>
      <c r="V196">
        <f>INT((P196+S196)/2)</f>
        <v>127</v>
      </c>
      <c r="W196" t="str">
        <f t="shared" si="12"/>
        <v>7F007F</v>
      </c>
      <c r="X196" t="b">
        <f t="shared" si="13"/>
        <v>0</v>
      </c>
      <c r="Y196">
        <f t="shared" si="14"/>
        <v>0</v>
      </c>
    </row>
    <row r="197" spans="9:25" hidden="1">
      <c r="I197">
        <v>190</v>
      </c>
      <c r="J197" s="1">
        <v>0</v>
      </c>
      <c r="K197" s="1">
        <v>3</v>
      </c>
      <c r="L197" s="1">
        <v>1</v>
      </c>
      <c r="M197" s="1">
        <v>2</v>
      </c>
      <c r="N197">
        <f>INT(VLOOKUP($J197,$A$2:$G$6,2,0)*$L197/2)</f>
        <v>0</v>
      </c>
      <c r="O197">
        <f>INT(VLOOKUP($J197,$A$2:$G$6,3,0)*$L197/2)</f>
        <v>0</v>
      </c>
      <c r="P197">
        <f>INT(VLOOKUP($J197,$A$2:$G$6,4,0)*$L197/2)</f>
        <v>0</v>
      </c>
      <c r="Q197">
        <f>INT(VLOOKUP($K197,$A$2:$G$6,2,0)*$M197/2)</f>
        <v>255</v>
      </c>
      <c r="R197">
        <f>INT(VLOOKUP($K197,$A$2:$G$6,3,0)*$M197/2)</f>
        <v>0</v>
      </c>
      <c r="S197">
        <f>INT(VLOOKUP($K197,$A$2:$G$6,4,0)*$M197/2)</f>
        <v>255</v>
      </c>
      <c r="T197">
        <f>INT((N197+Q197)/2)</f>
        <v>127</v>
      </c>
      <c r="U197">
        <f>INT((O197+R197)/2)</f>
        <v>0</v>
      </c>
      <c r="V197">
        <f>INT((P197+S197)/2)</f>
        <v>127</v>
      </c>
      <c r="W197" t="str">
        <f t="shared" si="12"/>
        <v>7F007F</v>
      </c>
      <c r="X197" t="b">
        <f t="shared" si="13"/>
        <v>0</v>
      </c>
      <c r="Y197">
        <f t="shared" si="14"/>
        <v>0</v>
      </c>
    </row>
    <row r="198" spans="9:25" hidden="1">
      <c r="I198">
        <v>203</v>
      </c>
      <c r="J198" s="1">
        <v>3</v>
      </c>
      <c r="K198" s="1">
        <v>0</v>
      </c>
      <c r="L198" s="1">
        <v>2</v>
      </c>
      <c r="M198" s="1">
        <v>2</v>
      </c>
      <c r="N198">
        <f>INT(VLOOKUP($J198,$A$2:$G$6,2,0)*$L198/2)</f>
        <v>255</v>
      </c>
      <c r="O198">
        <f>INT(VLOOKUP($J198,$A$2:$G$6,3,0)*$L198/2)</f>
        <v>0</v>
      </c>
      <c r="P198">
        <f>INT(VLOOKUP($J198,$A$2:$G$6,4,0)*$L198/2)</f>
        <v>255</v>
      </c>
      <c r="Q198">
        <f>INT(VLOOKUP($K198,$A$2:$G$6,2,0)*$M198/2)</f>
        <v>0</v>
      </c>
      <c r="R198">
        <f>INT(VLOOKUP($K198,$A$2:$G$6,3,0)*$M198/2)</f>
        <v>0</v>
      </c>
      <c r="S198">
        <f>INT(VLOOKUP($K198,$A$2:$G$6,4,0)*$M198/2)</f>
        <v>0</v>
      </c>
      <c r="T198">
        <f>INT((N198+Q198)/2)</f>
        <v>127</v>
      </c>
      <c r="U198">
        <f>INT((O198+R198)/2)</f>
        <v>0</v>
      </c>
      <c r="V198">
        <f>INT((P198+S198)/2)</f>
        <v>127</v>
      </c>
      <c r="W198" t="str">
        <f t="shared" si="12"/>
        <v>7F007F</v>
      </c>
      <c r="X198" t="b">
        <f t="shared" si="13"/>
        <v>0</v>
      </c>
      <c r="Y198">
        <f t="shared" si="14"/>
        <v>0</v>
      </c>
    </row>
    <row r="199" spans="9:25" hidden="1">
      <c r="I199">
        <v>207</v>
      </c>
      <c r="J199" s="1">
        <v>2</v>
      </c>
      <c r="K199" s="1">
        <v>1</v>
      </c>
      <c r="L199" s="1">
        <v>2</v>
      </c>
      <c r="M199" s="1">
        <v>2</v>
      </c>
      <c r="N199">
        <f>INT(VLOOKUP($J199,$A$2:$G$6,2,0)*$L199/2)</f>
        <v>255</v>
      </c>
      <c r="O199">
        <f>INT(VLOOKUP($J199,$A$2:$G$6,3,0)*$L199/2)</f>
        <v>0</v>
      </c>
      <c r="P199">
        <f>INT(VLOOKUP($J199,$A$2:$G$6,4,0)*$L199/2)</f>
        <v>0</v>
      </c>
      <c r="Q199">
        <f>INT(VLOOKUP($K199,$A$2:$G$6,2,0)*$M199/2)</f>
        <v>0</v>
      </c>
      <c r="R199">
        <f>INT(VLOOKUP($K199,$A$2:$G$6,3,0)*$M199/2)</f>
        <v>0</v>
      </c>
      <c r="S199">
        <f>INT(VLOOKUP($K199,$A$2:$G$6,4,0)*$M199/2)</f>
        <v>255</v>
      </c>
      <c r="T199">
        <f>INT((N199+Q199)/2)</f>
        <v>127</v>
      </c>
      <c r="U199">
        <f>INT((O199+R199)/2)</f>
        <v>0</v>
      </c>
      <c r="V199">
        <f>INT((P199+S199)/2)</f>
        <v>127</v>
      </c>
      <c r="W199" t="str">
        <f t="shared" si="12"/>
        <v>7F007F</v>
      </c>
      <c r="X199" t="b">
        <f t="shared" si="13"/>
        <v>0</v>
      </c>
      <c r="Y199">
        <f t="shared" si="14"/>
        <v>0</v>
      </c>
    </row>
    <row r="200" spans="9:25" hidden="1">
      <c r="I200">
        <v>211</v>
      </c>
      <c r="J200" s="1">
        <v>1</v>
      </c>
      <c r="K200" s="1">
        <v>2</v>
      </c>
      <c r="L200" s="1">
        <v>2</v>
      </c>
      <c r="M200" s="1">
        <v>2</v>
      </c>
      <c r="N200">
        <f>INT(VLOOKUP($J200,$A$2:$G$6,2,0)*$L200/2)</f>
        <v>0</v>
      </c>
      <c r="O200">
        <f>INT(VLOOKUP($J200,$A$2:$G$6,3,0)*$L200/2)</f>
        <v>0</v>
      </c>
      <c r="P200">
        <f>INT(VLOOKUP($J200,$A$2:$G$6,4,0)*$L200/2)</f>
        <v>255</v>
      </c>
      <c r="Q200">
        <f>INT(VLOOKUP($K200,$A$2:$G$6,2,0)*$M200/2)</f>
        <v>255</v>
      </c>
      <c r="R200">
        <f>INT(VLOOKUP($K200,$A$2:$G$6,3,0)*$M200/2)</f>
        <v>0</v>
      </c>
      <c r="S200">
        <f>INT(VLOOKUP($K200,$A$2:$G$6,4,0)*$M200/2)</f>
        <v>0</v>
      </c>
      <c r="T200">
        <f>INT((N200+Q200)/2)</f>
        <v>127</v>
      </c>
      <c r="U200">
        <f>INT((O200+R200)/2)</f>
        <v>0</v>
      </c>
      <c r="V200">
        <f>INT((P200+S200)/2)</f>
        <v>127</v>
      </c>
      <c r="W200" t="str">
        <f t="shared" si="12"/>
        <v>7F007F</v>
      </c>
      <c r="X200" t="b">
        <f t="shared" si="13"/>
        <v>0</v>
      </c>
      <c r="Y200">
        <f t="shared" si="14"/>
        <v>0</v>
      </c>
    </row>
    <row r="201" spans="9:25" hidden="1">
      <c r="I201">
        <v>215</v>
      </c>
      <c r="J201" s="1">
        <v>0</v>
      </c>
      <c r="K201" s="1">
        <v>3</v>
      </c>
      <c r="L201" s="1">
        <v>2</v>
      </c>
      <c r="M201" s="1">
        <v>2</v>
      </c>
      <c r="N201">
        <f>INT(VLOOKUP($J201,$A$2:$G$6,2,0)*$L201/2)</f>
        <v>0</v>
      </c>
      <c r="O201">
        <f>INT(VLOOKUP($J201,$A$2:$G$6,3,0)*$L201/2)</f>
        <v>0</v>
      </c>
      <c r="P201">
        <f>INT(VLOOKUP($J201,$A$2:$G$6,4,0)*$L201/2)</f>
        <v>0</v>
      </c>
      <c r="Q201">
        <f>INT(VLOOKUP($K201,$A$2:$G$6,2,0)*$M201/2)</f>
        <v>255</v>
      </c>
      <c r="R201">
        <f>INT(VLOOKUP($K201,$A$2:$G$6,3,0)*$M201/2)</f>
        <v>0</v>
      </c>
      <c r="S201">
        <f>INT(VLOOKUP($K201,$A$2:$G$6,4,0)*$M201/2)</f>
        <v>255</v>
      </c>
      <c r="T201">
        <f>INT((N201+Q201)/2)</f>
        <v>127</v>
      </c>
      <c r="U201">
        <f>INT((O201+R201)/2)</f>
        <v>0</v>
      </c>
      <c r="V201">
        <f>INT((P201+S201)/2)</f>
        <v>127</v>
      </c>
      <c r="W201" t="str">
        <f t="shared" si="12"/>
        <v>7F007F</v>
      </c>
      <c r="X201" t="b">
        <f t="shared" si="13"/>
        <v>0</v>
      </c>
      <c r="Y201">
        <f t="shared" si="14"/>
        <v>0</v>
      </c>
    </row>
    <row r="202" spans="9:25" hidden="1">
      <c r="I202">
        <v>133</v>
      </c>
      <c r="J202" s="1">
        <v>3</v>
      </c>
      <c r="K202" s="1">
        <v>1</v>
      </c>
      <c r="L202" s="1">
        <v>2</v>
      </c>
      <c r="M202" s="1">
        <v>1</v>
      </c>
      <c r="N202">
        <f>INT(VLOOKUP($J202,$A$2:$G$6,2,0)*$L202/2)</f>
        <v>255</v>
      </c>
      <c r="O202">
        <f>INT(VLOOKUP($J202,$A$2:$G$6,3,0)*$L202/2)</f>
        <v>0</v>
      </c>
      <c r="P202">
        <f>INT(VLOOKUP($J202,$A$2:$G$6,4,0)*$L202/2)</f>
        <v>255</v>
      </c>
      <c r="Q202">
        <f>INT(VLOOKUP($K202,$A$2:$G$6,2,0)*$M202/2)</f>
        <v>0</v>
      </c>
      <c r="R202">
        <f>INT(VLOOKUP($K202,$A$2:$G$6,3,0)*$M202/2)</f>
        <v>0</v>
      </c>
      <c r="S202">
        <f>INT(VLOOKUP($K202,$A$2:$G$6,4,0)*$M202/2)</f>
        <v>127</v>
      </c>
      <c r="T202">
        <f>INT((N202+Q202)/2)</f>
        <v>127</v>
      </c>
      <c r="U202">
        <f>INT((O202+R202)/2)</f>
        <v>0</v>
      </c>
      <c r="V202">
        <f>INT((P202+S202)/2)</f>
        <v>191</v>
      </c>
      <c r="W202" t="str">
        <f t="shared" si="12"/>
        <v>7F00BF</v>
      </c>
      <c r="X202" t="b">
        <f t="shared" si="13"/>
        <v>0</v>
      </c>
      <c r="Y202">
        <f t="shared" si="14"/>
        <v>1</v>
      </c>
    </row>
    <row r="203" spans="9:25" hidden="1">
      <c r="I203">
        <v>191</v>
      </c>
      <c r="J203" s="1">
        <v>1</v>
      </c>
      <c r="K203" s="1">
        <v>3</v>
      </c>
      <c r="L203" s="1">
        <v>1</v>
      </c>
      <c r="M203" s="1">
        <v>2</v>
      </c>
      <c r="N203">
        <f>INT(VLOOKUP($J203,$A$2:$G$6,2,0)*$L203/2)</f>
        <v>0</v>
      </c>
      <c r="O203">
        <f>INT(VLOOKUP($J203,$A$2:$G$6,3,0)*$L203/2)</f>
        <v>0</v>
      </c>
      <c r="P203">
        <f>INT(VLOOKUP($J203,$A$2:$G$6,4,0)*$L203/2)</f>
        <v>127</v>
      </c>
      <c r="Q203">
        <f>INT(VLOOKUP($K203,$A$2:$G$6,2,0)*$M203/2)</f>
        <v>255</v>
      </c>
      <c r="R203">
        <f>INT(VLOOKUP($K203,$A$2:$G$6,3,0)*$M203/2)</f>
        <v>0</v>
      </c>
      <c r="S203">
        <f>INT(VLOOKUP($K203,$A$2:$G$6,4,0)*$M203/2)</f>
        <v>255</v>
      </c>
      <c r="T203">
        <f>INT((N203+Q203)/2)</f>
        <v>127</v>
      </c>
      <c r="U203">
        <f>INT((O203+R203)/2)</f>
        <v>0</v>
      </c>
      <c r="V203">
        <f>INT((P203+S203)/2)</f>
        <v>191</v>
      </c>
      <c r="W203" t="str">
        <f t="shared" si="12"/>
        <v>7F00BF</v>
      </c>
      <c r="X203" t="b">
        <f t="shared" si="13"/>
        <v>0</v>
      </c>
      <c r="Y203">
        <f t="shared" si="14"/>
        <v>0</v>
      </c>
    </row>
    <row r="204" spans="9:25" hidden="1">
      <c r="I204">
        <v>208</v>
      </c>
      <c r="J204" s="1">
        <v>3</v>
      </c>
      <c r="K204" s="1">
        <v>1</v>
      </c>
      <c r="L204" s="1">
        <v>2</v>
      </c>
      <c r="M204" s="1">
        <v>2</v>
      </c>
      <c r="N204">
        <f>INT(VLOOKUP($J204,$A$2:$G$6,2,0)*$L204/2)</f>
        <v>255</v>
      </c>
      <c r="O204">
        <f>INT(VLOOKUP($J204,$A$2:$G$6,3,0)*$L204/2)</f>
        <v>0</v>
      </c>
      <c r="P204">
        <f>INT(VLOOKUP($J204,$A$2:$G$6,4,0)*$L204/2)</f>
        <v>255</v>
      </c>
      <c r="Q204">
        <f>INT(VLOOKUP($K204,$A$2:$G$6,2,0)*$M204/2)</f>
        <v>0</v>
      </c>
      <c r="R204">
        <f>INT(VLOOKUP($K204,$A$2:$G$6,3,0)*$M204/2)</f>
        <v>0</v>
      </c>
      <c r="S204">
        <f>INT(VLOOKUP($K204,$A$2:$G$6,4,0)*$M204/2)</f>
        <v>255</v>
      </c>
      <c r="T204">
        <f>INT((N204+Q204)/2)</f>
        <v>127</v>
      </c>
      <c r="U204">
        <f>INT((O204+R204)/2)</f>
        <v>0</v>
      </c>
      <c r="V204">
        <f>INT((P204+S204)/2)</f>
        <v>255</v>
      </c>
      <c r="W204" t="str">
        <f t="shared" si="12"/>
        <v>7F00FF</v>
      </c>
      <c r="X204" t="b">
        <f t="shared" si="13"/>
        <v>0</v>
      </c>
      <c r="Y204">
        <f t="shared" si="14"/>
        <v>1</v>
      </c>
    </row>
    <row r="205" spans="9:25" hidden="1">
      <c r="I205">
        <v>216</v>
      </c>
      <c r="J205" s="1">
        <v>1</v>
      </c>
      <c r="K205" s="1">
        <v>3</v>
      </c>
      <c r="L205" s="1">
        <v>2</v>
      </c>
      <c r="M205" s="1">
        <v>2</v>
      </c>
      <c r="N205">
        <f>INT(VLOOKUP($J205,$A$2:$G$6,2,0)*$L205/2)</f>
        <v>0</v>
      </c>
      <c r="O205">
        <f>INT(VLOOKUP($J205,$A$2:$G$6,3,0)*$L205/2)</f>
        <v>0</v>
      </c>
      <c r="P205">
        <f>INT(VLOOKUP($J205,$A$2:$G$6,4,0)*$L205/2)</f>
        <v>255</v>
      </c>
      <c r="Q205">
        <f>INT(VLOOKUP($K205,$A$2:$G$6,2,0)*$M205/2)</f>
        <v>255</v>
      </c>
      <c r="R205">
        <f>INT(VLOOKUP($K205,$A$2:$G$6,3,0)*$M205/2)</f>
        <v>0</v>
      </c>
      <c r="S205">
        <f>INT(VLOOKUP($K205,$A$2:$G$6,4,0)*$M205/2)</f>
        <v>255</v>
      </c>
      <c r="T205">
        <f>INT((N205+Q205)/2)</f>
        <v>127</v>
      </c>
      <c r="U205">
        <f>INT((O205+R205)/2)</f>
        <v>0</v>
      </c>
      <c r="V205">
        <f>INT((P205+S205)/2)</f>
        <v>255</v>
      </c>
      <c r="W205" t="str">
        <f t="shared" si="12"/>
        <v>7F00FF</v>
      </c>
      <c r="X205" t="b">
        <f t="shared" si="13"/>
        <v>0</v>
      </c>
      <c r="Y205">
        <f t="shared" si="14"/>
        <v>0</v>
      </c>
    </row>
    <row r="206" spans="9:25" hidden="1">
      <c r="I206">
        <v>147</v>
      </c>
      <c r="J206" s="1">
        <v>2</v>
      </c>
      <c r="K206" s="1">
        <v>4</v>
      </c>
      <c r="L206" s="1">
        <v>2</v>
      </c>
      <c r="M206" s="1">
        <v>1</v>
      </c>
      <c r="N206">
        <f>INT(VLOOKUP($J206,$A$2:$G$6,2,0)*$L206/2)</f>
        <v>255</v>
      </c>
      <c r="O206">
        <f>INT(VLOOKUP($J206,$A$2:$G$6,3,0)*$L206/2)</f>
        <v>0</v>
      </c>
      <c r="P206">
        <f>INT(VLOOKUP($J206,$A$2:$G$6,4,0)*$L206/2)</f>
        <v>0</v>
      </c>
      <c r="Q206">
        <f>INT(VLOOKUP($K206,$A$2:$G$6,2,0)*$M206/2)</f>
        <v>0</v>
      </c>
      <c r="R206">
        <f>INT(VLOOKUP($K206,$A$2:$G$6,3,0)*$M206/2)</f>
        <v>127</v>
      </c>
      <c r="S206">
        <f>INT(VLOOKUP($K206,$A$2:$G$6,4,0)*$M206/2)</f>
        <v>0</v>
      </c>
      <c r="T206">
        <f>INT((N206+Q206)/2)</f>
        <v>127</v>
      </c>
      <c r="U206">
        <f>INT((O206+R206)/2)</f>
        <v>63</v>
      </c>
      <c r="V206">
        <f>INT((P206+S206)/2)</f>
        <v>0</v>
      </c>
      <c r="W206" t="str">
        <f t="shared" si="12"/>
        <v>7F3F00</v>
      </c>
      <c r="X206" t="b">
        <f t="shared" si="13"/>
        <v>0</v>
      </c>
      <c r="Y206">
        <f t="shared" si="14"/>
        <v>1</v>
      </c>
    </row>
    <row r="207" spans="9:25" hidden="1">
      <c r="I207">
        <v>189</v>
      </c>
      <c r="J207" s="1">
        <v>4</v>
      </c>
      <c r="K207" s="1">
        <v>2</v>
      </c>
      <c r="L207" s="1">
        <v>1</v>
      </c>
      <c r="M207" s="1">
        <v>2</v>
      </c>
      <c r="N207">
        <f>INT(VLOOKUP($J207,$A$2:$G$6,2,0)*$L207/2)</f>
        <v>0</v>
      </c>
      <c r="O207">
        <f>INT(VLOOKUP($J207,$A$2:$G$6,3,0)*$L207/2)</f>
        <v>127</v>
      </c>
      <c r="P207">
        <f>INT(VLOOKUP($J207,$A$2:$G$6,4,0)*$L207/2)</f>
        <v>0</v>
      </c>
      <c r="Q207">
        <f>INT(VLOOKUP($K207,$A$2:$G$6,2,0)*$M207/2)</f>
        <v>255</v>
      </c>
      <c r="R207">
        <f>INT(VLOOKUP($K207,$A$2:$G$6,3,0)*$M207/2)</f>
        <v>0</v>
      </c>
      <c r="S207">
        <f>INT(VLOOKUP($K207,$A$2:$G$6,4,0)*$M207/2)</f>
        <v>0</v>
      </c>
      <c r="T207">
        <f>INT((N207+Q207)/2)</f>
        <v>127</v>
      </c>
      <c r="U207">
        <f>INT((O207+R207)/2)</f>
        <v>63</v>
      </c>
      <c r="V207">
        <f>INT((P207+S207)/2)</f>
        <v>0</v>
      </c>
      <c r="W207" t="str">
        <f t="shared" si="12"/>
        <v>7F3F00</v>
      </c>
      <c r="X207" t="b">
        <f t="shared" si="13"/>
        <v>0</v>
      </c>
      <c r="Y207">
        <f t="shared" si="14"/>
        <v>0</v>
      </c>
    </row>
    <row r="208" spans="9:25" hidden="1">
      <c r="I208">
        <v>214</v>
      </c>
      <c r="J208" s="1">
        <v>4</v>
      </c>
      <c r="K208" s="1">
        <v>2</v>
      </c>
      <c r="L208" s="1">
        <v>2</v>
      </c>
      <c r="M208" s="1">
        <v>2</v>
      </c>
      <c r="N208">
        <f>INT(VLOOKUP($J208,$A$2:$G$6,2,0)*$L208/2)</f>
        <v>0</v>
      </c>
      <c r="O208">
        <f>INT(VLOOKUP($J208,$A$2:$G$6,3,0)*$L208/2)</f>
        <v>255</v>
      </c>
      <c r="P208">
        <f>INT(VLOOKUP($J208,$A$2:$G$6,4,0)*$L208/2)</f>
        <v>0</v>
      </c>
      <c r="Q208">
        <f>INT(VLOOKUP($K208,$A$2:$G$6,2,0)*$M208/2)</f>
        <v>255</v>
      </c>
      <c r="R208">
        <f>INT(VLOOKUP($K208,$A$2:$G$6,3,0)*$M208/2)</f>
        <v>0</v>
      </c>
      <c r="S208">
        <f>INT(VLOOKUP($K208,$A$2:$G$6,4,0)*$M208/2)</f>
        <v>0</v>
      </c>
      <c r="T208">
        <f>INT((N208+Q208)/2)</f>
        <v>127</v>
      </c>
      <c r="U208">
        <f>INT((O208+R208)/2)</f>
        <v>127</v>
      </c>
      <c r="V208">
        <f>INT((P208+S208)/2)</f>
        <v>0</v>
      </c>
      <c r="W208" t="str">
        <f t="shared" si="12"/>
        <v>7F7F00</v>
      </c>
      <c r="X208" t="b">
        <f t="shared" si="13"/>
        <v>0</v>
      </c>
      <c r="Y208">
        <f t="shared" si="14"/>
        <v>1</v>
      </c>
    </row>
    <row r="209" spans="9:25" hidden="1">
      <c r="I209">
        <v>222</v>
      </c>
      <c r="J209" s="1">
        <v>2</v>
      </c>
      <c r="K209" s="1">
        <v>4</v>
      </c>
      <c r="L209" s="1">
        <v>2</v>
      </c>
      <c r="M209" s="1">
        <v>2</v>
      </c>
      <c r="N209">
        <f>INT(VLOOKUP($J209,$A$2:$G$6,2,0)*$L209/2)</f>
        <v>255</v>
      </c>
      <c r="O209">
        <f>INT(VLOOKUP($J209,$A$2:$G$6,3,0)*$L209/2)</f>
        <v>0</v>
      </c>
      <c r="P209">
        <f>INT(VLOOKUP($J209,$A$2:$G$6,4,0)*$L209/2)</f>
        <v>0</v>
      </c>
      <c r="Q209">
        <f>INT(VLOOKUP($K209,$A$2:$G$6,2,0)*$M209/2)</f>
        <v>0</v>
      </c>
      <c r="R209">
        <f>INT(VLOOKUP($K209,$A$2:$G$6,3,0)*$M209/2)</f>
        <v>255</v>
      </c>
      <c r="S209">
        <f>INT(VLOOKUP($K209,$A$2:$G$6,4,0)*$M209/2)</f>
        <v>0</v>
      </c>
      <c r="T209">
        <f>INT((N209+Q209)/2)</f>
        <v>127</v>
      </c>
      <c r="U209">
        <f>INT((O209+R209)/2)</f>
        <v>127</v>
      </c>
      <c r="V209">
        <f>INT((P209+S209)/2)</f>
        <v>0</v>
      </c>
      <c r="W209" t="str">
        <f t="shared" si="12"/>
        <v>7F7F00</v>
      </c>
      <c r="X209" t="b">
        <f t="shared" si="13"/>
        <v>0</v>
      </c>
      <c r="Y209">
        <f t="shared" si="14"/>
        <v>0</v>
      </c>
    </row>
    <row r="210" spans="9:25" hidden="1">
      <c r="I210">
        <v>142</v>
      </c>
      <c r="J210" s="1">
        <v>2</v>
      </c>
      <c r="K210" s="1">
        <v>3</v>
      </c>
      <c r="L210" s="1">
        <v>2</v>
      </c>
      <c r="M210" s="1">
        <v>1</v>
      </c>
      <c r="N210">
        <f>INT(VLOOKUP($J210,$A$2:$G$6,2,0)*$L210/2)</f>
        <v>255</v>
      </c>
      <c r="O210">
        <f>INT(VLOOKUP($J210,$A$2:$G$6,3,0)*$L210/2)</f>
        <v>0</v>
      </c>
      <c r="P210">
        <f>INT(VLOOKUP($J210,$A$2:$G$6,4,0)*$L210/2)</f>
        <v>0</v>
      </c>
      <c r="Q210">
        <f>INT(VLOOKUP($K210,$A$2:$G$6,2,0)*$M210/2)</f>
        <v>127</v>
      </c>
      <c r="R210">
        <f>INT(VLOOKUP($K210,$A$2:$G$6,3,0)*$M210/2)</f>
        <v>0</v>
      </c>
      <c r="S210">
        <f>INT(VLOOKUP($K210,$A$2:$G$6,4,0)*$M210/2)</f>
        <v>127</v>
      </c>
      <c r="T210">
        <f>INT((N210+Q210)/2)</f>
        <v>191</v>
      </c>
      <c r="U210">
        <f>INT((O210+R210)/2)</f>
        <v>0</v>
      </c>
      <c r="V210">
        <f>INT((P210+S210)/2)</f>
        <v>63</v>
      </c>
      <c r="W210" t="str">
        <f t="shared" si="12"/>
        <v>BF003F</v>
      </c>
      <c r="X210" t="b">
        <f t="shared" si="13"/>
        <v>0</v>
      </c>
      <c r="Y210">
        <f t="shared" si="14"/>
        <v>1</v>
      </c>
    </row>
    <row r="211" spans="9:25" hidden="1">
      <c r="I211">
        <v>188</v>
      </c>
      <c r="J211" s="1">
        <v>3</v>
      </c>
      <c r="K211" s="1">
        <v>2</v>
      </c>
      <c r="L211" s="1">
        <v>1</v>
      </c>
      <c r="M211" s="1">
        <v>2</v>
      </c>
      <c r="N211">
        <f>INT(VLOOKUP($J211,$A$2:$G$6,2,0)*$L211/2)</f>
        <v>127</v>
      </c>
      <c r="O211">
        <f>INT(VLOOKUP($J211,$A$2:$G$6,3,0)*$L211/2)</f>
        <v>0</v>
      </c>
      <c r="P211">
        <f>INT(VLOOKUP($J211,$A$2:$G$6,4,0)*$L211/2)</f>
        <v>127</v>
      </c>
      <c r="Q211">
        <f>INT(VLOOKUP($K211,$A$2:$G$6,2,0)*$M211/2)</f>
        <v>255</v>
      </c>
      <c r="R211">
        <f>INT(VLOOKUP($K211,$A$2:$G$6,3,0)*$M211/2)</f>
        <v>0</v>
      </c>
      <c r="S211">
        <f>INT(VLOOKUP($K211,$A$2:$G$6,4,0)*$M211/2)</f>
        <v>0</v>
      </c>
      <c r="T211">
        <f>INT((N211+Q211)/2)</f>
        <v>191</v>
      </c>
      <c r="U211">
        <f>INT((O211+R211)/2)</f>
        <v>0</v>
      </c>
      <c r="V211">
        <f>INT((P211+S211)/2)</f>
        <v>63</v>
      </c>
      <c r="W211" t="str">
        <f t="shared" si="12"/>
        <v>BF003F</v>
      </c>
      <c r="X211" t="b">
        <f t="shared" si="13"/>
        <v>0</v>
      </c>
      <c r="Y211">
        <f t="shared" si="14"/>
        <v>0</v>
      </c>
    </row>
    <row r="212" spans="9:25" hidden="1">
      <c r="I212">
        <v>138</v>
      </c>
      <c r="J212" s="1">
        <v>3</v>
      </c>
      <c r="K212" s="1">
        <v>2</v>
      </c>
      <c r="L212" s="1">
        <v>2</v>
      </c>
      <c r="M212" s="1">
        <v>1</v>
      </c>
      <c r="N212">
        <f>INT(VLOOKUP($J212,$A$2:$G$6,2,0)*$L212/2)</f>
        <v>255</v>
      </c>
      <c r="O212">
        <f>INT(VLOOKUP($J212,$A$2:$G$6,3,0)*$L212/2)</f>
        <v>0</v>
      </c>
      <c r="P212">
        <f>INT(VLOOKUP($J212,$A$2:$G$6,4,0)*$L212/2)</f>
        <v>255</v>
      </c>
      <c r="Q212">
        <f>INT(VLOOKUP($K212,$A$2:$G$6,2,0)*$M212/2)</f>
        <v>127</v>
      </c>
      <c r="R212">
        <f>INT(VLOOKUP($K212,$A$2:$G$6,3,0)*$M212/2)</f>
        <v>0</v>
      </c>
      <c r="S212">
        <f>INT(VLOOKUP($K212,$A$2:$G$6,4,0)*$M212/2)</f>
        <v>0</v>
      </c>
      <c r="T212">
        <f>INT((N212+Q212)/2)</f>
        <v>191</v>
      </c>
      <c r="U212">
        <f>INT((O212+R212)/2)</f>
        <v>0</v>
      </c>
      <c r="V212">
        <f>INT((P212+S212)/2)</f>
        <v>127</v>
      </c>
      <c r="W212" t="str">
        <f t="shared" si="12"/>
        <v>BF007F</v>
      </c>
      <c r="X212" t="b">
        <f t="shared" si="13"/>
        <v>0</v>
      </c>
      <c r="Y212">
        <f t="shared" si="14"/>
        <v>1</v>
      </c>
    </row>
    <row r="213" spans="9:25" hidden="1">
      <c r="I213">
        <v>192</v>
      </c>
      <c r="J213" s="1">
        <v>2</v>
      </c>
      <c r="K213" s="1">
        <v>3</v>
      </c>
      <c r="L213" s="1">
        <v>1</v>
      </c>
      <c r="M213" s="1">
        <v>2</v>
      </c>
      <c r="N213">
        <f>INT(VLOOKUP($J213,$A$2:$G$6,2,0)*$L213/2)</f>
        <v>127</v>
      </c>
      <c r="O213">
        <f>INT(VLOOKUP($J213,$A$2:$G$6,3,0)*$L213/2)</f>
        <v>0</v>
      </c>
      <c r="P213">
        <f>INT(VLOOKUP($J213,$A$2:$G$6,4,0)*$L213/2)</f>
        <v>0</v>
      </c>
      <c r="Q213">
        <f>INT(VLOOKUP($K213,$A$2:$G$6,2,0)*$M213/2)</f>
        <v>255</v>
      </c>
      <c r="R213">
        <f>INT(VLOOKUP($K213,$A$2:$G$6,3,0)*$M213/2)</f>
        <v>0</v>
      </c>
      <c r="S213">
        <f>INT(VLOOKUP($K213,$A$2:$G$6,4,0)*$M213/2)</f>
        <v>255</v>
      </c>
      <c r="T213">
        <f>INT((N213+Q213)/2)</f>
        <v>191</v>
      </c>
      <c r="U213">
        <f>INT((O213+R213)/2)</f>
        <v>0</v>
      </c>
      <c r="V213">
        <f>INT((P213+S213)/2)</f>
        <v>127</v>
      </c>
      <c r="W213" t="str">
        <f t="shared" si="12"/>
        <v>BF007F</v>
      </c>
      <c r="X213" t="b">
        <f t="shared" si="13"/>
        <v>0</v>
      </c>
      <c r="Y213">
        <f t="shared" si="14"/>
        <v>0</v>
      </c>
    </row>
    <row r="214" spans="9:25" hidden="1">
      <c r="I214">
        <v>143</v>
      </c>
      <c r="J214" s="1">
        <v>3</v>
      </c>
      <c r="K214" s="1">
        <v>3</v>
      </c>
      <c r="L214" s="1">
        <v>2</v>
      </c>
      <c r="M214" s="1">
        <v>1</v>
      </c>
      <c r="N214">
        <f>INT(VLOOKUP($J214,$A$2:$G$6,2,0)*$L214/2)</f>
        <v>255</v>
      </c>
      <c r="O214">
        <f>INT(VLOOKUP($J214,$A$2:$G$6,3,0)*$L214/2)</f>
        <v>0</v>
      </c>
      <c r="P214">
        <f>INT(VLOOKUP($J214,$A$2:$G$6,4,0)*$L214/2)</f>
        <v>255</v>
      </c>
      <c r="Q214">
        <f>INT(VLOOKUP($K214,$A$2:$G$6,2,0)*$M214/2)</f>
        <v>127</v>
      </c>
      <c r="R214">
        <f>INT(VLOOKUP($K214,$A$2:$G$6,3,0)*$M214/2)</f>
        <v>0</v>
      </c>
      <c r="S214">
        <f>INT(VLOOKUP($K214,$A$2:$G$6,4,0)*$M214/2)</f>
        <v>127</v>
      </c>
      <c r="T214">
        <f>INT((N214+Q214)/2)</f>
        <v>191</v>
      </c>
      <c r="U214">
        <f>INT((O214+R214)/2)</f>
        <v>0</v>
      </c>
      <c r="V214">
        <f>INT((P214+S214)/2)</f>
        <v>191</v>
      </c>
      <c r="W214" t="str">
        <f t="shared" si="12"/>
        <v>BF00BF</v>
      </c>
      <c r="X214" t="b">
        <f t="shared" si="13"/>
        <v>0</v>
      </c>
      <c r="Y214">
        <f t="shared" si="14"/>
        <v>1</v>
      </c>
    </row>
    <row r="215" spans="9:25" hidden="1">
      <c r="I215">
        <v>193</v>
      </c>
      <c r="J215" s="1">
        <v>3</v>
      </c>
      <c r="K215" s="1">
        <v>3</v>
      </c>
      <c r="L215" s="1">
        <v>1</v>
      </c>
      <c r="M215" s="1">
        <v>2</v>
      </c>
      <c r="N215">
        <f>INT(VLOOKUP($J215,$A$2:$G$6,2,0)*$L215/2)</f>
        <v>127</v>
      </c>
      <c r="O215">
        <f>INT(VLOOKUP($J215,$A$2:$G$6,3,0)*$L215/2)</f>
        <v>0</v>
      </c>
      <c r="P215">
        <f>INT(VLOOKUP($J215,$A$2:$G$6,4,0)*$L215/2)</f>
        <v>127</v>
      </c>
      <c r="Q215">
        <f>INT(VLOOKUP($K215,$A$2:$G$6,2,0)*$M215/2)</f>
        <v>255</v>
      </c>
      <c r="R215">
        <f>INT(VLOOKUP($K215,$A$2:$G$6,3,0)*$M215/2)</f>
        <v>0</v>
      </c>
      <c r="S215">
        <f>INT(VLOOKUP($K215,$A$2:$G$6,4,0)*$M215/2)</f>
        <v>255</v>
      </c>
      <c r="T215">
        <f>INT((N215+Q215)/2)</f>
        <v>191</v>
      </c>
      <c r="U215">
        <f>INT((O215+R215)/2)</f>
        <v>0</v>
      </c>
      <c r="V215">
        <f>INT((P215+S215)/2)</f>
        <v>191</v>
      </c>
      <c r="W215" t="str">
        <f t="shared" si="12"/>
        <v>BF00BF</v>
      </c>
      <c r="X215" t="b">
        <f t="shared" si="13"/>
        <v>0</v>
      </c>
      <c r="Y215">
        <f t="shared" si="14"/>
        <v>0</v>
      </c>
    </row>
    <row r="216" spans="9:25" hidden="1">
      <c r="I216">
        <v>213</v>
      </c>
      <c r="J216" s="1">
        <v>3</v>
      </c>
      <c r="K216" s="1">
        <v>2</v>
      </c>
      <c r="L216" s="1">
        <v>2</v>
      </c>
      <c r="M216" s="1">
        <v>2</v>
      </c>
      <c r="N216">
        <f>INT(VLOOKUP($J216,$A$2:$G$6,2,0)*$L216/2)</f>
        <v>255</v>
      </c>
      <c r="O216">
        <f>INT(VLOOKUP($J216,$A$2:$G$6,3,0)*$L216/2)</f>
        <v>0</v>
      </c>
      <c r="P216">
        <f>INT(VLOOKUP($J216,$A$2:$G$6,4,0)*$L216/2)</f>
        <v>255</v>
      </c>
      <c r="Q216">
        <f>INT(VLOOKUP($K216,$A$2:$G$6,2,0)*$M216/2)</f>
        <v>255</v>
      </c>
      <c r="R216">
        <f>INT(VLOOKUP($K216,$A$2:$G$6,3,0)*$M216/2)</f>
        <v>0</v>
      </c>
      <c r="S216">
        <f>INT(VLOOKUP($K216,$A$2:$G$6,4,0)*$M216/2)</f>
        <v>0</v>
      </c>
      <c r="T216">
        <f>INT((N216+Q216)/2)</f>
        <v>255</v>
      </c>
      <c r="U216">
        <f>INT((O216+R216)/2)</f>
        <v>0</v>
      </c>
      <c r="V216">
        <f>INT((P216+S216)/2)</f>
        <v>127</v>
      </c>
      <c r="W216" t="str">
        <f t="shared" si="12"/>
        <v>FF007F</v>
      </c>
      <c r="X216" t="b">
        <f t="shared" si="13"/>
        <v>0</v>
      </c>
      <c r="Y216">
        <f t="shared" si="14"/>
        <v>1</v>
      </c>
    </row>
    <row r="217" spans="9:25" hidden="1">
      <c r="I217">
        <v>217</v>
      </c>
      <c r="J217" s="1">
        <v>2</v>
      </c>
      <c r="K217" s="1">
        <v>3</v>
      </c>
      <c r="L217" s="1">
        <v>2</v>
      </c>
      <c r="M217" s="1">
        <v>2</v>
      </c>
      <c r="N217">
        <f>INT(VLOOKUP($J217,$A$2:$G$6,2,0)*$L217/2)</f>
        <v>255</v>
      </c>
      <c r="O217">
        <f>INT(VLOOKUP($J217,$A$2:$G$6,3,0)*$L217/2)</f>
        <v>0</v>
      </c>
      <c r="P217">
        <f>INT(VLOOKUP($J217,$A$2:$G$6,4,0)*$L217/2)</f>
        <v>0</v>
      </c>
      <c r="Q217">
        <f>INT(VLOOKUP($K217,$A$2:$G$6,2,0)*$M217/2)</f>
        <v>255</v>
      </c>
      <c r="R217">
        <f>INT(VLOOKUP($K217,$A$2:$G$6,3,0)*$M217/2)</f>
        <v>0</v>
      </c>
      <c r="S217">
        <f>INT(VLOOKUP($K217,$A$2:$G$6,4,0)*$M217/2)</f>
        <v>255</v>
      </c>
      <c r="T217">
        <f>INT((N217+Q217)/2)</f>
        <v>255</v>
      </c>
      <c r="U217">
        <f>INT((O217+R217)/2)</f>
        <v>0</v>
      </c>
      <c r="V217">
        <f>INT((P217+S217)/2)</f>
        <v>127</v>
      </c>
      <c r="W217" t="str">
        <f t="shared" si="12"/>
        <v>FF007F</v>
      </c>
      <c r="X217" t="b">
        <f t="shared" si="13"/>
        <v>0</v>
      </c>
      <c r="Y217">
        <f t="shared" si="14"/>
        <v>0</v>
      </c>
    </row>
    <row r="218" spans="9:25" hidden="1">
      <c r="I218">
        <v>218</v>
      </c>
      <c r="J218" s="1">
        <v>3</v>
      </c>
      <c r="K218" s="1">
        <v>3</v>
      </c>
      <c r="L218" s="1">
        <v>2</v>
      </c>
      <c r="M218" s="1">
        <v>2</v>
      </c>
      <c r="N218">
        <f>INT(VLOOKUP($J218,$A$2:$G$6,2,0)*$L218/2)</f>
        <v>255</v>
      </c>
      <c r="O218">
        <f>INT(VLOOKUP($J218,$A$2:$G$6,3,0)*$L218/2)</f>
        <v>0</v>
      </c>
      <c r="P218">
        <f>INT(VLOOKUP($J218,$A$2:$G$6,4,0)*$L218/2)</f>
        <v>255</v>
      </c>
      <c r="Q218">
        <f>INT(VLOOKUP($K218,$A$2:$G$6,2,0)*$M218/2)</f>
        <v>255</v>
      </c>
      <c r="R218">
        <f>INT(VLOOKUP($K218,$A$2:$G$6,3,0)*$M218/2)</f>
        <v>0</v>
      </c>
      <c r="S218">
        <f>INT(VLOOKUP($K218,$A$2:$G$6,4,0)*$M218/2)</f>
        <v>255</v>
      </c>
      <c r="T218">
        <f>INT((N218+Q218)/2)</f>
        <v>255</v>
      </c>
      <c r="U218">
        <f>INT((O218+R218)/2)</f>
        <v>0</v>
      </c>
      <c r="V218">
        <f>INT((P218+S218)/2)</f>
        <v>255</v>
      </c>
      <c r="W218" t="str">
        <f t="shared" si="12"/>
        <v>FF00FF</v>
      </c>
      <c r="X218" t="b">
        <f t="shared" si="13"/>
        <v>0</v>
      </c>
      <c r="Y218">
        <f t="shared" si="14"/>
        <v>1</v>
      </c>
    </row>
    <row r="219" spans="9:25" hidden="1">
      <c r="I219">
        <v>119</v>
      </c>
      <c r="J219" s="1">
        <v>4</v>
      </c>
      <c r="K219" s="1">
        <v>3</v>
      </c>
      <c r="L219" s="1">
        <v>1</v>
      </c>
      <c r="M219" s="1">
        <v>1</v>
      </c>
      <c r="N219">
        <f>INT(VLOOKUP($J219,$A$2:$G$6,2,0)*$L219/2)</f>
        <v>0</v>
      </c>
      <c r="O219">
        <f>INT(VLOOKUP($J219,$A$2:$G$6,3,0)*$L219/2)</f>
        <v>127</v>
      </c>
      <c r="P219">
        <f>INT(VLOOKUP($J219,$A$2:$G$6,4,0)*$L219/2)</f>
        <v>0</v>
      </c>
      <c r="Q219">
        <f>INT(VLOOKUP($K219,$A$2:$G$6,2,0)*$M219/2)</f>
        <v>127</v>
      </c>
      <c r="R219">
        <f>INT(VLOOKUP($K219,$A$2:$G$6,3,0)*$M219/2)</f>
        <v>0</v>
      </c>
      <c r="S219">
        <f>INT(VLOOKUP($K219,$A$2:$G$6,4,0)*$M219/2)</f>
        <v>127</v>
      </c>
      <c r="T219">
        <f>INT((N219+Q219)/2)</f>
        <v>63</v>
      </c>
      <c r="U219">
        <f>INT((O219+R219)/2)</f>
        <v>63</v>
      </c>
      <c r="V219">
        <f>INT((P219+S219)/2)</f>
        <v>63</v>
      </c>
      <c r="W219" t="str">
        <f t="shared" si="12"/>
        <v>3F3F3F</v>
      </c>
      <c r="X219" t="b">
        <f t="shared" si="13"/>
        <v>0</v>
      </c>
      <c r="Y219">
        <f t="shared" si="14"/>
        <v>1</v>
      </c>
    </row>
    <row r="220" spans="9:25" hidden="1">
      <c r="I220">
        <v>123</v>
      </c>
      <c r="J220" s="1">
        <v>3</v>
      </c>
      <c r="K220" s="1">
        <v>4</v>
      </c>
      <c r="L220" s="1">
        <v>1</v>
      </c>
      <c r="M220" s="1">
        <v>1</v>
      </c>
      <c r="N220">
        <f>INT(VLOOKUP($J220,$A$2:$G$6,2,0)*$L220/2)</f>
        <v>127</v>
      </c>
      <c r="O220">
        <f>INT(VLOOKUP($J220,$A$2:$G$6,3,0)*$L220/2)</f>
        <v>0</v>
      </c>
      <c r="P220">
        <f>INT(VLOOKUP($J220,$A$2:$G$6,4,0)*$L220/2)</f>
        <v>127</v>
      </c>
      <c r="Q220">
        <f>INT(VLOOKUP($K220,$A$2:$G$6,2,0)*$M220/2)</f>
        <v>0</v>
      </c>
      <c r="R220">
        <f>INT(VLOOKUP($K220,$A$2:$G$6,3,0)*$M220/2)</f>
        <v>127</v>
      </c>
      <c r="S220">
        <f>INT(VLOOKUP($K220,$A$2:$G$6,4,0)*$M220/2)</f>
        <v>0</v>
      </c>
      <c r="T220">
        <f>INT((N220+Q220)/2)</f>
        <v>63</v>
      </c>
      <c r="U220">
        <f>INT((O220+R220)/2)</f>
        <v>63</v>
      </c>
      <c r="V220">
        <f>INT((P220+S220)/2)</f>
        <v>63</v>
      </c>
      <c r="W220" t="str">
        <f t="shared" si="12"/>
        <v>3F3F3F</v>
      </c>
      <c r="X220" t="b">
        <f t="shared" si="13"/>
        <v>0</v>
      </c>
      <c r="Y220">
        <f t="shared" si="14"/>
        <v>0</v>
      </c>
    </row>
    <row r="221" spans="9:25" hidden="1">
      <c r="I221">
        <v>144</v>
      </c>
      <c r="J221" s="1">
        <v>4</v>
      </c>
      <c r="K221" s="1">
        <v>3</v>
      </c>
      <c r="L221" s="1">
        <v>2</v>
      </c>
      <c r="M221" s="1">
        <v>1</v>
      </c>
      <c r="N221">
        <f>INT(VLOOKUP($J221,$A$2:$G$6,2,0)*$L221/2)</f>
        <v>0</v>
      </c>
      <c r="O221">
        <f>INT(VLOOKUP($J221,$A$2:$G$6,3,0)*$L221/2)</f>
        <v>255</v>
      </c>
      <c r="P221">
        <f>INT(VLOOKUP($J221,$A$2:$G$6,4,0)*$L221/2)</f>
        <v>0</v>
      </c>
      <c r="Q221">
        <f>INT(VLOOKUP($K221,$A$2:$G$6,2,0)*$M221/2)</f>
        <v>127</v>
      </c>
      <c r="R221">
        <f>INT(VLOOKUP($K221,$A$2:$G$6,3,0)*$M221/2)</f>
        <v>0</v>
      </c>
      <c r="S221">
        <f>INT(VLOOKUP($K221,$A$2:$G$6,4,0)*$M221/2)</f>
        <v>127</v>
      </c>
      <c r="T221">
        <f>INT((N221+Q221)/2)</f>
        <v>63</v>
      </c>
      <c r="U221">
        <f>INT((O221+R221)/2)</f>
        <v>127</v>
      </c>
      <c r="V221">
        <f>INT((P221+S221)/2)</f>
        <v>63</v>
      </c>
      <c r="W221" t="str">
        <f t="shared" si="12"/>
        <v>3F7F3F</v>
      </c>
      <c r="X221" t="b">
        <f t="shared" si="13"/>
        <v>0</v>
      </c>
      <c r="Y221">
        <f t="shared" si="14"/>
        <v>1</v>
      </c>
    </row>
    <row r="222" spans="9:25" hidden="1">
      <c r="I222">
        <v>198</v>
      </c>
      <c r="J222" s="1">
        <v>3</v>
      </c>
      <c r="K222" s="1">
        <v>4</v>
      </c>
      <c r="L222" s="1">
        <v>1</v>
      </c>
      <c r="M222" s="1">
        <v>2</v>
      </c>
      <c r="N222">
        <f>INT(VLOOKUP($J222,$A$2:$G$6,2,0)*$L222/2)</f>
        <v>127</v>
      </c>
      <c r="O222">
        <f>INT(VLOOKUP($J222,$A$2:$G$6,3,0)*$L222/2)</f>
        <v>0</v>
      </c>
      <c r="P222">
        <f>INT(VLOOKUP($J222,$A$2:$G$6,4,0)*$L222/2)</f>
        <v>127</v>
      </c>
      <c r="Q222">
        <f>INT(VLOOKUP($K222,$A$2:$G$6,2,0)*$M222/2)</f>
        <v>0</v>
      </c>
      <c r="R222">
        <f>INT(VLOOKUP($K222,$A$2:$G$6,3,0)*$M222/2)</f>
        <v>255</v>
      </c>
      <c r="S222">
        <f>INT(VLOOKUP($K222,$A$2:$G$6,4,0)*$M222/2)</f>
        <v>0</v>
      </c>
      <c r="T222">
        <f>INT((N222+Q222)/2)</f>
        <v>63</v>
      </c>
      <c r="U222">
        <f>INT((O222+R222)/2)</f>
        <v>127</v>
      </c>
      <c r="V222">
        <f>INT((P222+S222)/2)</f>
        <v>63</v>
      </c>
      <c r="W222" t="str">
        <f t="shared" si="12"/>
        <v>3F7F3F</v>
      </c>
      <c r="X222" t="b">
        <f t="shared" si="13"/>
        <v>0</v>
      </c>
      <c r="Y222">
        <f t="shared" si="14"/>
        <v>0</v>
      </c>
    </row>
    <row r="223" spans="9:25" hidden="1">
      <c r="I223">
        <v>148</v>
      </c>
      <c r="J223" s="1">
        <v>3</v>
      </c>
      <c r="K223" s="1">
        <v>4</v>
      </c>
      <c r="L223" s="1">
        <v>2</v>
      </c>
      <c r="M223" s="1">
        <v>1</v>
      </c>
      <c r="N223">
        <f>INT(VLOOKUP($J223,$A$2:$G$6,2,0)*$L223/2)</f>
        <v>255</v>
      </c>
      <c r="O223">
        <f>INT(VLOOKUP($J223,$A$2:$G$6,3,0)*$L223/2)</f>
        <v>0</v>
      </c>
      <c r="P223">
        <f>INT(VLOOKUP($J223,$A$2:$G$6,4,0)*$L223/2)</f>
        <v>255</v>
      </c>
      <c r="Q223">
        <f>INT(VLOOKUP($K223,$A$2:$G$6,2,0)*$M223/2)</f>
        <v>0</v>
      </c>
      <c r="R223">
        <f>INT(VLOOKUP($K223,$A$2:$G$6,3,0)*$M223/2)</f>
        <v>127</v>
      </c>
      <c r="S223">
        <f>INT(VLOOKUP($K223,$A$2:$G$6,4,0)*$M223/2)</f>
        <v>0</v>
      </c>
      <c r="T223">
        <f>INT((N223+Q223)/2)</f>
        <v>127</v>
      </c>
      <c r="U223">
        <f>INT((O223+R223)/2)</f>
        <v>63</v>
      </c>
      <c r="V223">
        <f>INT((P223+S223)/2)</f>
        <v>127</v>
      </c>
      <c r="W223" t="str">
        <f t="shared" si="12"/>
        <v>7F3F7F</v>
      </c>
      <c r="X223" t="b">
        <f t="shared" si="13"/>
        <v>0</v>
      </c>
      <c r="Y223">
        <f t="shared" si="14"/>
        <v>1</v>
      </c>
    </row>
    <row r="224" spans="9:25" hidden="1">
      <c r="I224">
        <v>194</v>
      </c>
      <c r="J224" s="1">
        <v>4</v>
      </c>
      <c r="K224" s="1">
        <v>3</v>
      </c>
      <c r="L224" s="1">
        <v>1</v>
      </c>
      <c r="M224" s="1">
        <v>2</v>
      </c>
      <c r="N224">
        <f>INT(VLOOKUP($J224,$A$2:$G$6,2,0)*$L224/2)</f>
        <v>0</v>
      </c>
      <c r="O224">
        <f>INT(VLOOKUP($J224,$A$2:$G$6,3,0)*$L224/2)</f>
        <v>127</v>
      </c>
      <c r="P224">
        <f>INT(VLOOKUP($J224,$A$2:$G$6,4,0)*$L224/2)</f>
        <v>0</v>
      </c>
      <c r="Q224">
        <f>INT(VLOOKUP($K224,$A$2:$G$6,2,0)*$M224/2)</f>
        <v>255</v>
      </c>
      <c r="R224">
        <f>INT(VLOOKUP($K224,$A$2:$G$6,3,0)*$M224/2)</f>
        <v>0</v>
      </c>
      <c r="S224">
        <f>INT(VLOOKUP($K224,$A$2:$G$6,4,0)*$M224/2)</f>
        <v>255</v>
      </c>
      <c r="T224">
        <f>INT((N224+Q224)/2)</f>
        <v>127</v>
      </c>
      <c r="U224">
        <f>INT((O224+R224)/2)</f>
        <v>63</v>
      </c>
      <c r="V224">
        <f>INT((P224+S224)/2)</f>
        <v>127</v>
      </c>
      <c r="W224" t="str">
        <f t="shared" si="12"/>
        <v>7F3F7F</v>
      </c>
      <c r="X224" t="b">
        <f t="shared" si="13"/>
        <v>0</v>
      </c>
      <c r="Y224">
        <f t="shared" si="14"/>
        <v>0</v>
      </c>
    </row>
    <row r="225" spans="9:25" hidden="1">
      <c r="I225">
        <v>219</v>
      </c>
      <c r="J225" s="1">
        <v>4</v>
      </c>
      <c r="K225" s="1">
        <v>3</v>
      </c>
      <c r="L225" s="1">
        <v>2</v>
      </c>
      <c r="M225" s="1">
        <v>2</v>
      </c>
      <c r="N225">
        <f>INT(VLOOKUP($J225,$A$2:$G$6,2,0)*$L225/2)</f>
        <v>0</v>
      </c>
      <c r="O225">
        <f>INT(VLOOKUP($J225,$A$2:$G$6,3,0)*$L225/2)</f>
        <v>255</v>
      </c>
      <c r="P225">
        <f>INT(VLOOKUP($J225,$A$2:$G$6,4,0)*$L225/2)</f>
        <v>0</v>
      </c>
      <c r="Q225">
        <f>INT(VLOOKUP($K225,$A$2:$G$6,2,0)*$M225/2)</f>
        <v>255</v>
      </c>
      <c r="R225">
        <f>INT(VLOOKUP($K225,$A$2:$G$6,3,0)*$M225/2)</f>
        <v>0</v>
      </c>
      <c r="S225">
        <f>INT(VLOOKUP($K225,$A$2:$G$6,4,0)*$M225/2)</f>
        <v>255</v>
      </c>
      <c r="T225">
        <f>INT((N225+Q225)/2)</f>
        <v>127</v>
      </c>
      <c r="U225">
        <f>INT((O225+R225)/2)</f>
        <v>127</v>
      </c>
      <c r="V225">
        <f>INT((P225+S225)/2)</f>
        <v>127</v>
      </c>
      <c r="W225" t="str">
        <f t="shared" si="12"/>
        <v>7F7F7F</v>
      </c>
      <c r="X225" t="b">
        <f t="shared" si="13"/>
        <v>0</v>
      </c>
      <c r="Y225">
        <f t="shared" si="14"/>
        <v>1</v>
      </c>
    </row>
    <row r="226" spans="9:25" hidden="1">
      <c r="I226">
        <v>223</v>
      </c>
      <c r="J226" s="1">
        <v>3</v>
      </c>
      <c r="K226" s="1">
        <v>4</v>
      </c>
      <c r="L226" s="1">
        <v>2</v>
      </c>
      <c r="M226" s="1">
        <v>2</v>
      </c>
      <c r="N226">
        <f>INT(VLOOKUP($J226,$A$2:$G$6,2,0)*$L226/2)</f>
        <v>255</v>
      </c>
      <c r="O226">
        <f>INT(VLOOKUP($J226,$A$2:$G$6,3,0)*$L226/2)</f>
        <v>0</v>
      </c>
      <c r="P226">
        <f>INT(VLOOKUP($J226,$A$2:$G$6,4,0)*$L226/2)</f>
        <v>255</v>
      </c>
      <c r="Q226">
        <f>INT(VLOOKUP($K226,$A$2:$G$6,2,0)*$M226/2)</f>
        <v>0</v>
      </c>
      <c r="R226">
        <f>INT(VLOOKUP($K226,$A$2:$G$6,3,0)*$M226/2)</f>
        <v>255</v>
      </c>
      <c r="S226">
        <f>INT(VLOOKUP($K226,$A$2:$G$6,4,0)*$M226/2)</f>
        <v>0</v>
      </c>
      <c r="T226">
        <f>INT((N226+Q226)/2)</f>
        <v>127</v>
      </c>
      <c r="U226">
        <f>INT((O226+R226)/2)</f>
        <v>127</v>
      </c>
      <c r="V226">
        <f>INT((P226+S226)/2)</f>
        <v>127</v>
      </c>
      <c r="W226" t="str">
        <f t="shared" si="12"/>
        <v>7F7F7F</v>
      </c>
      <c r="X226" t="b">
        <f t="shared" si="13"/>
        <v>0</v>
      </c>
      <c r="Y226">
        <f t="shared" si="14"/>
        <v>0</v>
      </c>
    </row>
  </sheetData>
  <autoFilter ref="I1:Y226">
    <filterColumn colId="15">
      <filters>
        <filter val="TRUE"/>
      </filters>
    </filterColumn>
  </autoFilter>
  <conditionalFormatting sqref="T1:V226 W1:Y1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"/>
  <sheetViews>
    <sheetView workbookViewId="0">
      <pane xSplit="16" ySplit="1" topLeftCell="Q2" activePane="bottomRight" state="frozen"/>
      <selection pane="topRight" activeCell="Q1" sqref="Q1"/>
      <selection pane="bottomLeft" activeCell="A2" sqref="A2"/>
      <selection pane="bottomRight" activeCell="U39" sqref="U39"/>
    </sheetView>
  </sheetViews>
  <sheetFormatPr defaultRowHeight="15"/>
  <sheetData>
    <row r="1" spans="1:21">
      <c r="Q1" t="s">
        <v>140</v>
      </c>
      <c r="R1" t="s">
        <v>141</v>
      </c>
      <c r="S1" t="s">
        <v>4</v>
      </c>
      <c r="T1" t="s">
        <v>5</v>
      </c>
      <c r="U1" t="s">
        <v>142</v>
      </c>
    </row>
    <row r="2" spans="1:21">
      <c r="A2" t="s">
        <v>6</v>
      </c>
      <c r="B2" t="s">
        <v>7</v>
      </c>
      <c r="C2" t="s">
        <v>8</v>
      </c>
      <c r="D2" t="s">
        <v>4</v>
      </c>
      <c r="E2" t="s">
        <v>5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129</v>
      </c>
      <c r="N2" t="s">
        <v>128</v>
      </c>
      <c r="O2" t="s">
        <v>130</v>
      </c>
      <c r="P2" t="s">
        <v>49</v>
      </c>
      <c r="Q2" s="6" t="s">
        <v>67</v>
      </c>
      <c r="R2" s="6" t="s">
        <v>67</v>
      </c>
      <c r="S2" s="6" t="s">
        <v>67</v>
      </c>
      <c r="T2" s="6" t="s">
        <v>67</v>
      </c>
      <c r="U2" s="6" t="s">
        <v>67</v>
      </c>
    </row>
    <row r="3" spans="1:21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74</v>
      </c>
      <c r="P3">
        <v>1</v>
      </c>
      <c r="Q3" t="str">
        <f>Q2&amp;B3&amp;", "</f>
        <v xml:space="preserve">newArray(0, </v>
      </c>
      <c r="R3" t="str">
        <f>R2&amp;C3&amp;", "</f>
        <v xml:space="preserve">newArray(0, </v>
      </c>
      <c r="S3" t="str">
        <f>S2&amp;D3&amp;", "</f>
        <v xml:space="preserve">newArray(0, </v>
      </c>
      <c r="T3" t="str">
        <f>T2&amp;E3&amp;", "</f>
        <v xml:space="preserve">newArray(0, </v>
      </c>
      <c r="U3" t="str">
        <f>U2&amp;"0x"&amp;O3&amp;", "</f>
        <v xml:space="preserve">newArray(0x000000, </v>
      </c>
    </row>
    <row r="4" spans="1:21">
      <c r="A4">
        <v>26</v>
      </c>
      <c r="B4">
        <v>1</v>
      </c>
      <c r="C4">
        <v>0</v>
      </c>
      <c r="D4">
        <v>1</v>
      </c>
      <c r="E4">
        <v>0</v>
      </c>
      <c r="F4">
        <v>0</v>
      </c>
      <c r="G4">
        <v>0</v>
      </c>
      <c r="H4">
        <v>127</v>
      </c>
      <c r="I4">
        <v>0</v>
      </c>
      <c r="J4">
        <v>0</v>
      </c>
      <c r="K4">
        <v>0</v>
      </c>
      <c r="L4">
        <v>0</v>
      </c>
      <c r="M4">
        <v>0</v>
      </c>
      <c r="N4">
        <v>63</v>
      </c>
      <c r="O4" t="s">
        <v>75</v>
      </c>
      <c r="P4">
        <v>1</v>
      </c>
      <c r="Q4" t="str">
        <f t="shared" ref="Q4:R39" si="0">Q3&amp;B4&amp;", "</f>
        <v xml:space="preserve">newArray(0, 1, </v>
      </c>
      <c r="R4" t="str">
        <f t="shared" si="0"/>
        <v xml:space="preserve">newArray(0, 0, </v>
      </c>
      <c r="S4" t="str">
        <f t="shared" ref="S4:S39" si="1">S3&amp;D4&amp;", "</f>
        <v xml:space="preserve">newArray(0, 1, </v>
      </c>
      <c r="T4" t="str">
        <f t="shared" ref="T4:U39" si="2">T3&amp;E4&amp;", "</f>
        <v xml:space="preserve">newArray(0, 0, </v>
      </c>
      <c r="U4" t="str">
        <f t="shared" ref="U4:U39" si="3">U3&amp;"0x"&amp;O4&amp;", "</f>
        <v xml:space="preserve">newArray(0x000000, 0x00003F, </v>
      </c>
    </row>
    <row r="5" spans="1:21">
      <c r="A5">
        <v>51</v>
      </c>
      <c r="B5">
        <v>1</v>
      </c>
      <c r="C5">
        <v>0</v>
      </c>
      <c r="D5">
        <v>2</v>
      </c>
      <c r="E5">
        <v>0</v>
      </c>
      <c r="F5">
        <v>0</v>
      </c>
      <c r="G5">
        <v>0</v>
      </c>
      <c r="H5">
        <v>255</v>
      </c>
      <c r="I5">
        <v>0</v>
      </c>
      <c r="J5">
        <v>0</v>
      </c>
      <c r="K5">
        <v>0</v>
      </c>
      <c r="L5">
        <v>0</v>
      </c>
      <c r="M5">
        <v>0</v>
      </c>
      <c r="N5">
        <v>127</v>
      </c>
      <c r="O5" t="s">
        <v>77</v>
      </c>
      <c r="P5">
        <v>1</v>
      </c>
      <c r="Q5" t="str">
        <f t="shared" si="0"/>
        <v xml:space="preserve">newArray(0, 1, 1, </v>
      </c>
      <c r="R5" t="str">
        <f t="shared" si="0"/>
        <v xml:space="preserve">newArray(0, 0, 0, </v>
      </c>
      <c r="S5" t="str">
        <f t="shared" si="1"/>
        <v xml:space="preserve">newArray(0, 1, 2, </v>
      </c>
      <c r="T5" t="str">
        <f t="shared" si="2"/>
        <v xml:space="preserve">newArray(0, 0, 0, </v>
      </c>
      <c r="U5" t="str">
        <f t="shared" si="3"/>
        <v xml:space="preserve">newArray(0x000000, 0x00003F, 0x00007F, </v>
      </c>
    </row>
    <row r="6" spans="1:21">
      <c r="A6">
        <v>131</v>
      </c>
      <c r="B6">
        <v>1</v>
      </c>
      <c r="C6">
        <v>1</v>
      </c>
      <c r="D6">
        <v>2</v>
      </c>
      <c r="E6">
        <v>1</v>
      </c>
      <c r="F6">
        <v>0</v>
      </c>
      <c r="G6">
        <v>0</v>
      </c>
      <c r="H6">
        <v>255</v>
      </c>
      <c r="I6">
        <v>0</v>
      </c>
      <c r="J6">
        <v>0</v>
      </c>
      <c r="K6">
        <v>127</v>
      </c>
      <c r="L6">
        <v>0</v>
      </c>
      <c r="M6">
        <v>0</v>
      </c>
      <c r="N6">
        <v>191</v>
      </c>
      <c r="O6" t="s">
        <v>81</v>
      </c>
      <c r="P6">
        <v>1</v>
      </c>
      <c r="Q6" t="str">
        <f t="shared" si="0"/>
        <v xml:space="preserve">newArray(0, 1, 1, 1, </v>
      </c>
      <c r="R6" t="str">
        <f t="shared" si="0"/>
        <v xml:space="preserve">newArray(0, 0, 0, 1, </v>
      </c>
      <c r="S6" t="str">
        <f t="shared" si="1"/>
        <v xml:space="preserve">newArray(0, 1, 2, 2, </v>
      </c>
      <c r="T6" t="str">
        <f t="shared" si="2"/>
        <v xml:space="preserve">newArray(0, 0, 0, 1, </v>
      </c>
      <c r="U6" t="str">
        <f t="shared" si="3"/>
        <v xml:space="preserve">newArray(0x000000, 0x00003F, 0x00007F, 0x0000BF, </v>
      </c>
    </row>
    <row r="7" spans="1:21">
      <c r="A7">
        <v>206</v>
      </c>
      <c r="B7">
        <v>1</v>
      </c>
      <c r="C7">
        <v>1</v>
      </c>
      <c r="D7">
        <v>2</v>
      </c>
      <c r="E7">
        <v>2</v>
      </c>
      <c r="F7">
        <v>0</v>
      </c>
      <c r="G7">
        <v>0</v>
      </c>
      <c r="H7">
        <v>255</v>
      </c>
      <c r="I7">
        <v>0</v>
      </c>
      <c r="J7">
        <v>0</v>
      </c>
      <c r="K7">
        <v>255</v>
      </c>
      <c r="L7">
        <v>0</v>
      </c>
      <c r="M7">
        <v>0</v>
      </c>
      <c r="N7">
        <v>255</v>
      </c>
      <c r="O7" t="s">
        <v>82</v>
      </c>
      <c r="P7">
        <v>1</v>
      </c>
      <c r="Q7" t="str">
        <f t="shared" si="0"/>
        <v xml:space="preserve">newArray(0, 1, 1, 1, 1, </v>
      </c>
      <c r="R7" t="str">
        <f t="shared" si="0"/>
        <v xml:space="preserve">newArray(0, 0, 0, 1, 1, </v>
      </c>
      <c r="S7" t="str">
        <f t="shared" si="1"/>
        <v xml:space="preserve">newArray(0, 1, 2, 2, 2, </v>
      </c>
      <c r="T7" t="str">
        <f t="shared" si="2"/>
        <v xml:space="preserve">newArray(0, 0, 0, 1, 2, </v>
      </c>
      <c r="U7" t="str">
        <f t="shared" si="3"/>
        <v xml:space="preserve">newArray(0x000000, 0x00003F, 0x00007F, 0x0000BF, 0x0000FF, </v>
      </c>
    </row>
    <row r="8" spans="1:21">
      <c r="A8">
        <v>29</v>
      </c>
      <c r="B8">
        <v>4</v>
      </c>
      <c r="C8">
        <v>0</v>
      </c>
      <c r="D8">
        <v>1</v>
      </c>
      <c r="E8">
        <v>0</v>
      </c>
      <c r="F8">
        <v>0</v>
      </c>
      <c r="G8">
        <v>127</v>
      </c>
      <c r="H8">
        <v>0</v>
      </c>
      <c r="I8">
        <v>0</v>
      </c>
      <c r="J8">
        <v>0</v>
      </c>
      <c r="K8">
        <v>0</v>
      </c>
      <c r="L8">
        <v>0</v>
      </c>
      <c r="M8">
        <v>63</v>
      </c>
      <c r="N8">
        <v>0</v>
      </c>
      <c r="O8" t="s">
        <v>131</v>
      </c>
      <c r="P8">
        <v>1</v>
      </c>
      <c r="Q8" t="str">
        <f t="shared" si="0"/>
        <v xml:space="preserve">newArray(0, 1, 1, 1, 1, 4, </v>
      </c>
      <c r="R8" t="str">
        <f t="shared" si="0"/>
        <v xml:space="preserve">newArray(0, 0, 0, 1, 1, 0, </v>
      </c>
      <c r="S8" t="str">
        <f t="shared" si="1"/>
        <v xml:space="preserve">newArray(0, 1, 2, 2, 2, 1, </v>
      </c>
      <c r="T8" t="str">
        <f t="shared" si="2"/>
        <v xml:space="preserve">newArray(0, 0, 0, 1, 2, 0, </v>
      </c>
      <c r="U8" t="str">
        <f t="shared" si="3"/>
        <v xml:space="preserve">newArray(0x000000, 0x00003F, 0x00007F, 0x0000BF, 0x0000FF, 0x003F00, </v>
      </c>
    </row>
    <row r="9" spans="1:21">
      <c r="A9">
        <v>54</v>
      </c>
      <c r="B9">
        <v>4</v>
      </c>
      <c r="C9">
        <v>0</v>
      </c>
      <c r="D9">
        <v>2</v>
      </c>
      <c r="E9">
        <v>0</v>
      </c>
      <c r="F9">
        <v>0</v>
      </c>
      <c r="G9">
        <v>255</v>
      </c>
      <c r="H9">
        <v>0</v>
      </c>
      <c r="I9">
        <v>0</v>
      </c>
      <c r="J9">
        <v>0</v>
      </c>
      <c r="K9">
        <v>0</v>
      </c>
      <c r="L9">
        <v>0</v>
      </c>
      <c r="M9">
        <v>127</v>
      </c>
      <c r="N9">
        <v>0</v>
      </c>
      <c r="O9" t="s">
        <v>116</v>
      </c>
      <c r="P9">
        <v>1</v>
      </c>
      <c r="Q9" t="str">
        <f t="shared" si="0"/>
        <v xml:space="preserve">newArray(0, 1, 1, 1, 1, 4, 4, </v>
      </c>
      <c r="R9" t="str">
        <f t="shared" si="0"/>
        <v xml:space="preserve">newArray(0, 0, 0, 1, 1, 0, 0, </v>
      </c>
      <c r="S9" t="str">
        <f t="shared" si="1"/>
        <v xml:space="preserve">newArray(0, 1, 2, 2, 2, 1, 2, </v>
      </c>
      <c r="T9" t="str">
        <f t="shared" si="2"/>
        <v xml:space="preserve">newArray(0, 0, 0, 1, 2, 0, 0, </v>
      </c>
      <c r="U9" t="str">
        <f t="shared" si="3"/>
        <v xml:space="preserve">newArray(0x000000, 0x00003F, 0x00007F, 0x0000BF, 0x0000FF, 0x003F00, 0x007F00, </v>
      </c>
    </row>
    <row r="10" spans="1:21">
      <c r="A10">
        <v>149</v>
      </c>
      <c r="B10">
        <v>4</v>
      </c>
      <c r="C10">
        <v>4</v>
      </c>
      <c r="D10">
        <v>2</v>
      </c>
      <c r="E10">
        <v>1</v>
      </c>
      <c r="F10">
        <v>0</v>
      </c>
      <c r="G10">
        <v>255</v>
      </c>
      <c r="H10">
        <v>0</v>
      </c>
      <c r="I10">
        <v>0</v>
      </c>
      <c r="J10">
        <v>127</v>
      </c>
      <c r="K10">
        <v>0</v>
      </c>
      <c r="L10">
        <v>0</v>
      </c>
      <c r="M10">
        <v>191</v>
      </c>
      <c r="N10">
        <v>0</v>
      </c>
      <c r="O10" t="s">
        <v>117</v>
      </c>
      <c r="P10">
        <v>1</v>
      </c>
      <c r="Q10" t="str">
        <f t="shared" si="0"/>
        <v xml:space="preserve">newArray(0, 1, 1, 1, 1, 4, 4, 4, </v>
      </c>
      <c r="R10" t="str">
        <f t="shared" si="0"/>
        <v xml:space="preserve">newArray(0, 0, 0, 1, 1, 0, 0, 4, </v>
      </c>
      <c r="S10" t="str">
        <f t="shared" si="1"/>
        <v xml:space="preserve">newArray(0, 1, 2, 2, 2, 1, 2, 2, </v>
      </c>
      <c r="T10" t="str">
        <f t="shared" si="2"/>
        <v xml:space="preserve">newArray(0, 0, 0, 1, 2, 0, 0, 1, </v>
      </c>
      <c r="U10" t="str">
        <f t="shared" si="3"/>
        <v xml:space="preserve">newArray(0x000000, 0x00003F, 0x00007F, 0x0000BF, 0x0000FF, 0x003F00, 0x007F00, 0x00BF00, </v>
      </c>
    </row>
    <row r="11" spans="1:21">
      <c r="A11">
        <v>224</v>
      </c>
      <c r="B11">
        <v>4</v>
      </c>
      <c r="C11">
        <v>4</v>
      </c>
      <c r="D11">
        <v>2</v>
      </c>
      <c r="E11">
        <v>2</v>
      </c>
      <c r="F11">
        <v>0</v>
      </c>
      <c r="G11">
        <v>255</v>
      </c>
      <c r="H11">
        <v>0</v>
      </c>
      <c r="I11">
        <v>0</v>
      </c>
      <c r="J11">
        <v>255</v>
      </c>
      <c r="K11">
        <v>0</v>
      </c>
      <c r="L11">
        <v>0</v>
      </c>
      <c r="M11">
        <v>255</v>
      </c>
      <c r="N11">
        <v>0</v>
      </c>
      <c r="O11" t="s">
        <v>83</v>
      </c>
      <c r="P11">
        <v>1</v>
      </c>
      <c r="Q11" t="str">
        <f t="shared" si="0"/>
        <v xml:space="preserve">newArray(0, 1, 1, 1, 1, 4, 4, 4, 4, </v>
      </c>
      <c r="R11" t="str">
        <f t="shared" si="0"/>
        <v xml:space="preserve">newArray(0, 0, 0, 1, 1, 0, 0, 4, 4, </v>
      </c>
      <c r="S11" t="str">
        <f t="shared" si="1"/>
        <v xml:space="preserve">newArray(0, 1, 2, 2, 2, 1, 2, 2, 2, </v>
      </c>
      <c r="T11" t="str">
        <f t="shared" si="2"/>
        <v xml:space="preserve">newArray(0, 0, 0, 1, 2, 0, 0, 1, 2, </v>
      </c>
      <c r="U11" t="str">
        <f t="shared" si="3"/>
        <v xml:space="preserve">newArray(0x000000, 0x00003F, 0x00007F, 0x0000BF, 0x0000FF, 0x003F00, 0x007F00, 0x00BF00, 0x00FF00, </v>
      </c>
    </row>
    <row r="12" spans="1:21">
      <c r="A12">
        <v>27</v>
      </c>
      <c r="B12">
        <v>2</v>
      </c>
      <c r="C12">
        <v>0</v>
      </c>
      <c r="D12">
        <v>1</v>
      </c>
      <c r="E12">
        <v>0</v>
      </c>
      <c r="F12">
        <v>127</v>
      </c>
      <c r="G12">
        <v>0</v>
      </c>
      <c r="H12">
        <v>0</v>
      </c>
      <c r="I12">
        <v>0</v>
      </c>
      <c r="J12">
        <v>0</v>
      </c>
      <c r="K12">
        <v>0</v>
      </c>
      <c r="L12">
        <v>63</v>
      </c>
      <c r="M12">
        <v>0</v>
      </c>
      <c r="N12">
        <v>0</v>
      </c>
      <c r="O12" t="s">
        <v>143</v>
      </c>
      <c r="P12">
        <v>1</v>
      </c>
      <c r="Q12" t="str">
        <f t="shared" si="0"/>
        <v xml:space="preserve">newArray(0, 1, 1, 1, 1, 4, 4, 4, 4, 2, </v>
      </c>
      <c r="R12" t="str">
        <f t="shared" si="0"/>
        <v xml:space="preserve">newArray(0, 0, 0, 1, 1, 0, 0, 4, 4, 0, </v>
      </c>
      <c r="S12" t="str">
        <f t="shared" si="1"/>
        <v xml:space="preserve">newArray(0, 1, 2, 2, 2, 1, 2, 2, 2, 1, </v>
      </c>
      <c r="T12" t="str">
        <f t="shared" si="2"/>
        <v xml:space="preserve">newArray(0, 0, 0, 1, 2, 0, 0, 1, 2, 0, </v>
      </c>
      <c r="U12" t="str">
        <f t="shared" si="3"/>
        <v xml:space="preserve">newArray(0x000000, 0x00003F, 0x00007F, 0x0000BF, 0x0000FF, 0x003F00, 0x007F00, 0x00BF00, 0x00FF00, 0x3F0000, </v>
      </c>
    </row>
    <row r="13" spans="1:21">
      <c r="A13">
        <v>109</v>
      </c>
      <c r="B13">
        <v>4</v>
      </c>
      <c r="C13">
        <v>1</v>
      </c>
      <c r="D13">
        <v>1</v>
      </c>
      <c r="E13">
        <v>1</v>
      </c>
      <c r="F13">
        <v>0</v>
      </c>
      <c r="G13">
        <v>127</v>
      </c>
      <c r="H13">
        <v>0</v>
      </c>
      <c r="I13">
        <v>0</v>
      </c>
      <c r="J13">
        <v>0</v>
      </c>
      <c r="K13">
        <v>127</v>
      </c>
      <c r="L13">
        <v>0</v>
      </c>
      <c r="M13">
        <v>63</v>
      </c>
      <c r="N13">
        <v>63</v>
      </c>
      <c r="O13" t="s">
        <v>132</v>
      </c>
      <c r="P13">
        <v>1</v>
      </c>
      <c r="Q13" t="str">
        <f t="shared" si="0"/>
        <v xml:space="preserve">newArray(0, 1, 1, 1, 1, 4, 4, 4, 4, 2, 4, </v>
      </c>
      <c r="R13" t="str">
        <f t="shared" si="0"/>
        <v xml:space="preserve">newArray(0, 0, 0, 1, 1, 0, 0, 4, 4, 0, 1, </v>
      </c>
      <c r="S13" t="str">
        <f t="shared" si="1"/>
        <v xml:space="preserve">newArray(0, 1, 2, 2, 2, 1, 2, 2, 2, 1, 1, </v>
      </c>
      <c r="T13" t="str">
        <f t="shared" si="2"/>
        <v xml:space="preserve">newArray(0, 0, 0, 1, 2, 0, 0, 1, 2, 0, 1, </v>
      </c>
      <c r="U13" t="str">
        <f t="shared" si="3"/>
        <v xml:space="preserve">newArray(0x000000, 0x00003F, 0x00007F, 0x0000BF, 0x0000FF, 0x003F00, 0x007F00, 0x00BF00, 0x00FF00, 0x3F0000, 0x003F3F, </v>
      </c>
    </row>
    <row r="14" spans="1:21">
      <c r="A14">
        <v>146</v>
      </c>
      <c r="B14">
        <v>1</v>
      </c>
      <c r="C14">
        <v>4</v>
      </c>
      <c r="D14">
        <v>2</v>
      </c>
      <c r="E14">
        <v>1</v>
      </c>
      <c r="F14">
        <v>0</v>
      </c>
      <c r="G14">
        <v>0</v>
      </c>
      <c r="H14">
        <v>255</v>
      </c>
      <c r="I14">
        <v>0</v>
      </c>
      <c r="J14">
        <v>127</v>
      </c>
      <c r="K14">
        <v>0</v>
      </c>
      <c r="L14">
        <v>0</v>
      </c>
      <c r="M14">
        <v>63</v>
      </c>
      <c r="N14">
        <v>127</v>
      </c>
      <c r="O14" t="s">
        <v>133</v>
      </c>
      <c r="P14">
        <v>1</v>
      </c>
      <c r="Q14" t="str">
        <f t="shared" si="0"/>
        <v xml:space="preserve">newArray(0, 1, 1, 1, 1, 4, 4, 4, 4, 2, 4, 1, </v>
      </c>
      <c r="R14" t="str">
        <f t="shared" si="0"/>
        <v xml:space="preserve">newArray(0, 0, 0, 1, 1, 0, 0, 4, 4, 0, 1, 4, </v>
      </c>
      <c r="S14" t="str">
        <f t="shared" si="1"/>
        <v xml:space="preserve">newArray(0, 1, 2, 2, 2, 1, 2, 2, 2, 1, 1, 2, </v>
      </c>
      <c r="T14" t="str">
        <f t="shared" si="2"/>
        <v xml:space="preserve">newArray(0, 0, 0, 1, 2, 0, 0, 1, 2, 0, 1, 1, </v>
      </c>
      <c r="U14" t="str">
        <f t="shared" si="3"/>
        <v xml:space="preserve">newArray(0x000000, 0x00003F, 0x00007F, 0x0000BF, 0x0000FF, 0x003F00, 0x007F00, 0x00BF00, 0x00FF00, 0x3F0000, 0x003F3F, 0x003F7F, </v>
      </c>
    </row>
    <row r="15" spans="1:21">
      <c r="A15">
        <v>52</v>
      </c>
      <c r="B15">
        <v>2</v>
      </c>
      <c r="C15">
        <v>0</v>
      </c>
      <c r="D15">
        <v>2</v>
      </c>
      <c r="E15">
        <v>0</v>
      </c>
      <c r="F15">
        <v>255</v>
      </c>
      <c r="G15">
        <v>0</v>
      </c>
      <c r="H15">
        <v>0</v>
      </c>
      <c r="I15">
        <v>0</v>
      </c>
      <c r="J15">
        <v>0</v>
      </c>
      <c r="K15">
        <v>0</v>
      </c>
      <c r="L15">
        <v>127</v>
      </c>
      <c r="M15">
        <v>0</v>
      </c>
      <c r="N15">
        <v>0</v>
      </c>
      <c r="O15" t="s">
        <v>98</v>
      </c>
      <c r="P15">
        <v>1</v>
      </c>
      <c r="Q15" t="str">
        <f t="shared" si="0"/>
        <v xml:space="preserve">newArray(0, 1, 1, 1, 1, 4, 4, 4, 4, 2, 4, 1, 2, </v>
      </c>
      <c r="R15" t="str">
        <f t="shared" si="0"/>
        <v xml:space="preserve">newArray(0, 0, 0, 1, 1, 0, 0, 4, 4, 0, 1, 4, 0, </v>
      </c>
      <c r="S15" t="str">
        <f t="shared" si="1"/>
        <v xml:space="preserve">newArray(0, 1, 2, 2, 2, 1, 2, 2, 2, 1, 1, 2, 2, </v>
      </c>
      <c r="T15" t="str">
        <f t="shared" si="2"/>
        <v xml:space="preserve">newArray(0, 0, 0, 1, 2, 0, 0, 1, 2, 0, 1, 1, 0, </v>
      </c>
      <c r="U15" t="str">
        <f t="shared" si="3"/>
        <v xml:space="preserve">newArray(0x000000, 0x00003F, 0x00007F, 0x0000BF, 0x0000FF, 0x003F00, 0x007F00, 0x00BF00, 0x00FF00, 0x3F0000, 0x003F3F, 0x003F7F, 0x7F0000, </v>
      </c>
    </row>
    <row r="16" spans="1:21">
      <c r="A16">
        <v>134</v>
      </c>
      <c r="B16">
        <v>4</v>
      </c>
      <c r="C16">
        <v>1</v>
      </c>
      <c r="D16">
        <v>2</v>
      </c>
      <c r="E16">
        <v>1</v>
      </c>
      <c r="F16">
        <v>0</v>
      </c>
      <c r="G16">
        <v>255</v>
      </c>
      <c r="H16">
        <v>0</v>
      </c>
      <c r="I16">
        <v>0</v>
      </c>
      <c r="J16">
        <v>0</v>
      </c>
      <c r="K16">
        <v>127</v>
      </c>
      <c r="L16">
        <v>0</v>
      </c>
      <c r="M16">
        <v>127</v>
      </c>
      <c r="N16">
        <v>63</v>
      </c>
      <c r="O16" t="s">
        <v>134</v>
      </c>
      <c r="P16">
        <v>1</v>
      </c>
      <c r="Q16" t="str">
        <f t="shared" si="0"/>
        <v xml:space="preserve">newArray(0, 1, 1, 1, 1, 4, 4, 4, 4, 2, 4, 1, 2, 4, </v>
      </c>
      <c r="R16" t="str">
        <f t="shared" si="0"/>
        <v xml:space="preserve">newArray(0, 0, 0, 1, 1, 0, 0, 4, 4, 0, 1, 4, 0, 1, </v>
      </c>
      <c r="S16" t="str">
        <f t="shared" si="1"/>
        <v xml:space="preserve">newArray(0, 1, 2, 2, 2, 1, 2, 2, 2, 1, 1, 2, 2, 2, </v>
      </c>
      <c r="T16" t="str">
        <f t="shared" si="2"/>
        <v xml:space="preserve">newArray(0, 0, 0, 1, 2, 0, 0, 1, 2, 0, 1, 1, 0, 1, </v>
      </c>
      <c r="U16" t="str">
        <f t="shared" si="3"/>
        <v xml:space="preserve">newArray(0x000000, 0x00003F, 0x00007F, 0x0000BF, 0x0000FF, 0x003F00, 0x007F00, 0x00BF00, 0x00FF00, 0x3F0000, 0x003F3F, 0x003F7F, 0x7F0000, 0x007F3F, </v>
      </c>
    </row>
    <row r="17" spans="1:21">
      <c r="A17">
        <v>209</v>
      </c>
      <c r="B17">
        <v>4</v>
      </c>
      <c r="C17">
        <v>1</v>
      </c>
      <c r="D17">
        <v>2</v>
      </c>
      <c r="E17">
        <v>2</v>
      </c>
      <c r="F17">
        <v>0</v>
      </c>
      <c r="G17">
        <v>255</v>
      </c>
      <c r="H17">
        <v>0</v>
      </c>
      <c r="I17">
        <v>0</v>
      </c>
      <c r="J17">
        <v>0</v>
      </c>
      <c r="K17">
        <v>255</v>
      </c>
      <c r="L17">
        <v>0</v>
      </c>
      <c r="M17">
        <v>127</v>
      </c>
      <c r="N17">
        <v>127</v>
      </c>
      <c r="O17" t="s">
        <v>135</v>
      </c>
      <c r="P17">
        <v>1</v>
      </c>
      <c r="Q17" t="str">
        <f t="shared" si="0"/>
        <v xml:space="preserve">newArray(0, 1, 1, 1, 1, 4, 4, 4, 4, 2, 4, 1, 2, 4, 4, </v>
      </c>
      <c r="R17" t="str">
        <f t="shared" si="0"/>
        <v xml:space="preserve">newArray(0, 0, 0, 1, 1, 0, 0, 4, 4, 0, 1, 4, 0, 1, 1, </v>
      </c>
      <c r="S17" t="str">
        <f t="shared" si="1"/>
        <v xml:space="preserve">newArray(0, 1, 2, 2, 2, 1, 2, 2, 2, 1, 1, 2, 2, 2, 2, </v>
      </c>
      <c r="T17" t="str">
        <f t="shared" si="2"/>
        <v xml:space="preserve">newArray(0, 0, 0, 1, 2, 0, 0, 1, 2, 0, 1, 1, 0, 1, 2, </v>
      </c>
      <c r="U17" t="str">
        <f t="shared" si="3"/>
        <v xml:space="preserve">newArray(0x000000, 0x00003F, 0x00007F, 0x0000BF, 0x0000FF, 0x003F00, 0x007F00, 0x00BF00, 0x00FF00, 0x3F0000, 0x003F3F, 0x003F7F, 0x7F0000, 0x007F3F, 0x007F7F, </v>
      </c>
    </row>
    <row r="18" spans="1:21">
      <c r="A18">
        <v>137</v>
      </c>
      <c r="B18">
        <v>2</v>
      </c>
      <c r="C18">
        <v>2</v>
      </c>
      <c r="D18">
        <v>2</v>
      </c>
      <c r="E18">
        <v>1</v>
      </c>
      <c r="F18">
        <v>255</v>
      </c>
      <c r="G18">
        <v>0</v>
      </c>
      <c r="H18">
        <v>0</v>
      </c>
      <c r="I18">
        <v>127</v>
      </c>
      <c r="J18">
        <v>0</v>
      </c>
      <c r="K18">
        <v>0</v>
      </c>
      <c r="L18">
        <v>191</v>
      </c>
      <c r="M18">
        <v>0</v>
      </c>
      <c r="N18">
        <v>0</v>
      </c>
      <c r="O18" t="s">
        <v>104</v>
      </c>
      <c r="P18">
        <v>1</v>
      </c>
      <c r="Q18" t="str">
        <f t="shared" si="0"/>
        <v xml:space="preserve">newArray(0, 1, 1, 1, 1, 4, 4, 4, 4, 2, 4, 1, 2, 4, 4, 2, </v>
      </c>
      <c r="R18" t="str">
        <f t="shared" si="0"/>
        <v xml:space="preserve">newArray(0, 0, 0, 1, 1, 0, 0, 4, 4, 0, 1, 4, 0, 1, 1, 2, </v>
      </c>
      <c r="S18" t="str">
        <f t="shared" si="1"/>
        <v xml:space="preserve">newArray(0, 1, 2, 2, 2, 1, 2, 2, 2, 1, 1, 2, 2, 2, 2, 2, </v>
      </c>
      <c r="T18" t="str">
        <f t="shared" si="2"/>
        <v xml:space="preserve">newArray(0, 0, 0, 1, 2, 0, 0, 1, 2, 0, 1, 1, 0, 1, 2, 1, </v>
      </c>
      <c r="U18" t="str">
        <f t="shared" si="3"/>
        <v xml:space="preserve">newArray(0x000000, 0x00003F, 0x00007F, 0x0000BF, 0x0000FF, 0x003F00, 0x007F00, 0x00BF00, 0x00FF00, 0x3F0000, 0x003F3F, 0x003F7F, 0x7F0000, 0x007F3F, 0x007F7F, 0xBF0000, </v>
      </c>
    </row>
    <row r="19" spans="1:21">
      <c r="A19">
        <v>212</v>
      </c>
      <c r="B19">
        <v>2</v>
      </c>
      <c r="C19">
        <v>2</v>
      </c>
      <c r="D19">
        <v>2</v>
      </c>
      <c r="E19">
        <v>2</v>
      </c>
      <c r="F19">
        <v>255</v>
      </c>
      <c r="G19">
        <v>0</v>
      </c>
      <c r="H19">
        <v>0</v>
      </c>
      <c r="I19">
        <v>255</v>
      </c>
      <c r="J19">
        <v>0</v>
      </c>
      <c r="K19">
        <v>0</v>
      </c>
      <c r="L19">
        <v>255</v>
      </c>
      <c r="M19">
        <v>0</v>
      </c>
      <c r="N19">
        <v>0</v>
      </c>
      <c r="O19" t="s">
        <v>21</v>
      </c>
      <c r="P19">
        <v>1</v>
      </c>
      <c r="Q19" t="str">
        <f t="shared" si="0"/>
        <v xml:space="preserve">newArray(0, 1, 1, 1, 1, 4, 4, 4, 4, 2, 4, 1, 2, 4, 4, 2, 2, </v>
      </c>
      <c r="R19" t="str">
        <f t="shared" si="0"/>
        <v xml:space="preserve">newArray(0, 0, 0, 1, 1, 0, 0, 4, 4, 0, 1, 4, 0, 1, 1, 2, 2, </v>
      </c>
      <c r="S19" t="str">
        <f t="shared" si="1"/>
        <v xml:space="preserve">newArray(0, 1, 2, 2, 2, 1, 2, 2, 2, 1, 1, 2, 2, 2, 2, 2, 2, </v>
      </c>
      <c r="T19" t="str">
        <f t="shared" si="2"/>
        <v xml:space="preserve">newArray(0, 0, 0, 1, 2, 0, 0, 1, 2, 0, 1, 1, 0, 1, 2, 1, 2, </v>
      </c>
      <c r="U19" t="str">
        <f t="shared" si="3"/>
        <v xml:space="preserve">newArray(0x000000, 0x00003F, 0x00007F, 0x0000BF, 0x0000FF, 0x003F00, 0x007F00, 0x00BF00, 0x00FF00, 0x3F0000, 0x003F3F, 0x003F7F, 0x7F0000, 0x007F3F, 0x007F7F, 0xBF0000, 0xFF0000, </v>
      </c>
    </row>
    <row r="20" spans="1:21">
      <c r="A20">
        <v>28</v>
      </c>
      <c r="B20">
        <v>3</v>
      </c>
      <c r="C20">
        <v>0</v>
      </c>
      <c r="D20">
        <v>1</v>
      </c>
      <c r="E20">
        <v>0</v>
      </c>
      <c r="F20">
        <v>127</v>
      </c>
      <c r="G20">
        <v>0</v>
      </c>
      <c r="H20">
        <v>127</v>
      </c>
      <c r="I20">
        <v>0</v>
      </c>
      <c r="J20">
        <v>0</v>
      </c>
      <c r="K20">
        <v>0</v>
      </c>
      <c r="L20">
        <v>63</v>
      </c>
      <c r="M20">
        <v>0</v>
      </c>
      <c r="N20">
        <v>63</v>
      </c>
      <c r="O20" t="s">
        <v>144</v>
      </c>
      <c r="P20">
        <v>1</v>
      </c>
      <c r="Q20" t="str">
        <f t="shared" si="0"/>
        <v xml:space="preserve">newArray(0, 1, 1, 1, 1, 4, 4, 4, 4, 2, 4, 1, 2, 4, 4, 2, 2, 3, </v>
      </c>
      <c r="R20" t="str">
        <f t="shared" si="0"/>
        <v xml:space="preserve">newArray(0, 0, 0, 1, 1, 0, 0, 4, 4, 0, 1, 4, 0, 1, 1, 2, 2, 0, </v>
      </c>
      <c r="S20" t="str">
        <f t="shared" si="1"/>
        <v xml:space="preserve">newArray(0, 1, 2, 2, 2, 1, 2, 2, 2, 1, 1, 2, 2, 2, 2, 2, 2, 1, </v>
      </c>
      <c r="T20" t="str">
        <f t="shared" si="2"/>
        <v xml:space="preserve">newArray(0, 0, 0, 1, 2, 0, 0, 1, 2, 0, 1, 1, 0, 1, 2, 1, 2, 0, </v>
      </c>
      <c r="U20" t="str">
        <f t="shared" si="3"/>
        <v xml:space="preserve">newArray(0x000000, 0x00003F, 0x00007F, 0x0000BF, 0x0000FF, 0x003F00, 0x007F00, 0x00BF00, 0x00FF00, 0x3F0000, 0x003F3F, 0x003F7F, 0x7F0000, 0x007F3F, 0x007F7F, 0xBF0000, 0xFF0000, 0x3F003F, </v>
      </c>
    </row>
    <row r="21" spans="1:21">
      <c r="A21">
        <v>108</v>
      </c>
      <c r="B21">
        <v>3</v>
      </c>
      <c r="C21">
        <v>1</v>
      </c>
      <c r="D21">
        <v>1</v>
      </c>
      <c r="E21">
        <v>1</v>
      </c>
      <c r="F21">
        <v>127</v>
      </c>
      <c r="G21">
        <v>0</v>
      </c>
      <c r="H21">
        <v>127</v>
      </c>
      <c r="I21">
        <v>0</v>
      </c>
      <c r="J21">
        <v>0</v>
      </c>
      <c r="K21">
        <v>127</v>
      </c>
      <c r="L21">
        <v>63</v>
      </c>
      <c r="M21">
        <v>0</v>
      </c>
      <c r="N21">
        <v>127</v>
      </c>
      <c r="O21" t="s">
        <v>145</v>
      </c>
      <c r="P21">
        <v>1</v>
      </c>
      <c r="Q21" t="str">
        <f t="shared" si="0"/>
        <v xml:space="preserve">newArray(0, 1, 1, 1, 1, 4, 4, 4, 4, 2, 4, 1, 2, 4, 4, 2, 2, 3, 3, </v>
      </c>
      <c r="R21" t="str">
        <f t="shared" si="0"/>
        <v xml:space="preserve">newArray(0, 0, 0, 1, 1, 0, 0, 4, 4, 0, 1, 4, 0, 1, 1, 2, 2, 0, 1, </v>
      </c>
      <c r="S21" t="str">
        <f t="shared" si="1"/>
        <v xml:space="preserve">newArray(0, 1, 2, 2, 2, 1, 2, 2, 2, 1, 1, 2, 2, 2, 2, 2, 2, 1, 1, </v>
      </c>
      <c r="T21" t="str">
        <f t="shared" si="2"/>
        <v xml:space="preserve">newArray(0, 0, 0, 1, 2, 0, 0, 1, 2, 0, 1, 1, 0, 1, 2, 1, 2, 0, 1, </v>
      </c>
      <c r="U21" t="str">
        <f t="shared" si="3"/>
        <v xml:space="preserve">newArray(0x000000, 0x00003F, 0x00007F, 0x0000BF, 0x0000FF, 0x003F00, 0x007F00, 0x00BF00, 0x00FF00, 0x3F0000, 0x003F3F, 0x003F7F, 0x7F0000, 0x007F3F, 0x007F7F, 0xBF0000, 0xFF0000, 0x3F003F, 0x3F007F, </v>
      </c>
    </row>
    <row r="22" spans="1:21">
      <c r="A22">
        <v>141</v>
      </c>
      <c r="B22">
        <v>1</v>
      </c>
      <c r="C22">
        <v>3</v>
      </c>
      <c r="D22">
        <v>2</v>
      </c>
      <c r="E22">
        <v>1</v>
      </c>
      <c r="F22">
        <v>0</v>
      </c>
      <c r="G22">
        <v>0</v>
      </c>
      <c r="H22">
        <v>255</v>
      </c>
      <c r="I22">
        <v>127</v>
      </c>
      <c r="J22">
        <v>0</v>
      </c>
      <c r="K22">
        <v>127</v>
      </c>
      <c r="L22">
        <v>63</v>
      </c>
      <c r="M22">
        <v>0</v>
      </c>
      <c r="N22">
        <v>191</v>
      </c>
      <c r="O22" t="s">
        <v>146</v>
      </c>
      <c r="P22">
        <v>1</v>
      </c>
      <c r="Q22" t="str">
        <f t="shared" si="0"/>
        <v xml:space="preserve">newArray(0, 1, 1, 1, 1, 4, 4, 4, 4, 2, 4, 1, 2, 4, 4, 2, 2, 3, 3, 1, </v>
      </c>
      <c r="R22" t="str">
        <f t="shared" si="0"/>
        <v xml:space="preserve">newArray(0, 0, 0, 1, 1, 0, 0, 4, 4, 0, 1, 4, 0, 1, 1, 2, 2, 0, 1, 3, </v>
      </c>
      <c r="S22" t="str">
        <f t="shared" si="1"/>
        <v xml:space="preserve">newArray(0, 1, 2, 2, 2, 1, 2, 2, 2, 1, 1, 2, 2, 2, 2, 2, 2, 1, 1, 2, </v>
      </c>
      <c r="T22" t="str">
        <f t="shared" si="2"/>
        <v xml:space="preserve">newArray(0, 0, 0, 1, 2, 0, 0, 1, 2, 0, 1, 1, 0, 1, 2, 1, 2, 0, 1, 1, </v>
      </c>
      <c r="U22" t="str">
        <f t="shared" si="3"/>
        <v xml:space="preserve">newArray(0x000000, 0x00003F, 0x00007F, 0x0000BF, 0x0000FF, 0x003F00, 0x007F00, 0x00BF00, 0x00FF00, 0x3F0000, 0x003F3F, 0x003F7F, 0x7F0000, 0x007F3F, 0x007F7F, 0xBF0000, 0xFF0000, 0x3F003F, 0x3F007F, 0x3F00BF, </v>
      </c>
    </row>
    <row r="23" spans="1:21">
      <c r="A23">
        <v>114</v>
      </c>
      <c r="B23">
        <v>4</v>
      </c>
      <c r="C23">
        <v>2</v>
      </c>
      <c r="D23">
        <v>1</v>
      </c>
      <c r="E23">
        <v>1</v>
      </c>
      <c r="F23">
        <v>0</v>
      </c>
      <c r="G23">
        <v>127</v>
      </c>
      <c r="H23">
        <v>0</v>
      </c>
      <c r="I23">
        <v>127</v>
      </c>
      <c r="J23">
        <v>0</v>
      </c>
      <c r="K23">
        <v>0</v>
      </c>
      <c r="L23">
        <v>63</v>
      </c>
      <c r="M23">
        <v>63</v>
      </c>
      <c r="N23">
        <v>0</v>
      </c>
      <c r="O23" t="s">
        <v>147</v>
      </c>
      <c r="P23">
        <v>1</v>
      </c>
      <c r="Q23" t="str">
        <f t="shared" si="0"/>
        <v xml:space="preserve">newArray(0, 1, 1, 1, 1, 4, 4, 4, 4, 2, 4, 1, 2, 4, 4, 2, 2, 3, 3, 1, 4, </v>
      </c>
      <c r="R23" t="str">
        <f t="shared" si="0"/>
        <v xml:space="preserve">newArray(0, 0, 0, 1, 1, 0, 0, 4, 4, 0, 1, 4, 0, 1, 1, 2, 2, 0, 1, 3, 2, </v>
      </c>
      <c r="S23" t="str">
        <f t="shared" si="1"/>
        <v xml:space="preserve">newArray(0, 1, 2, 2, 2, 1, 2, 2, 2, 1, 1, 2, 2, 2, 2, 2, 2, 1, 1, 2, 1, </v>
      </c>
      <c r="T23" t="str">
        <f t="shared" si="2"/>
        <v xml:space="preserve">newArray(0, 0, 0, 1, 2, 0, 0, 1, 2, 0, 1, 1, 0, 1, 2, 1, 2, 0, 1, 1, 1, </v>
      </c>
      <c r="U23" t="str">
        <f t="shared" si="3"/>
        <v xml:space="preserve">newArray(0x000000, 0x00003F, 0x00007F, 0x0000BF, 0x0000FF, 0x003F00, 0x007F00, 0x00BF00, 0x00FF00, 0x3F0000, 0x003F3F, 0x003F7F, 0x7F0000, 0x007F3F, 0x007F7F, 0xBF0000, 0xFF0000, 0x3F003F, 0x3F007F, 0x3F00BF, 0x3F3F00, </v>
      </c>
    </row>
    <row r="24" spans="1:21">
      <c r="A24">
        <v>139</v>
      </c>
      <c r="B24">
        <v>4</v>
      </c>
      <c r="C24">
        <v>2</v>
      </c>
      <c r="D24">
        <v>2</v>
      </c>
      <c r="E24">
        <v>1</v>
      </c>
      <c r="F24">
        <v>0</v>
      </c>
      <c r="G24">
        <v>255</v>
      </c>
      <c r="H24">
        <v>0</v>
      </c>
      <c r="I24">
        <v>127</v>
      </c>
      <c r="J24">
        <v>0</v>
      </c>
      <c r="K24">
        <v>0</v>
      </c>
      <c r="L24">
        <v>63</v>
      </c>
      <c r="M24">
        <v>127</v>
      </c>
      <c r="N24">
        <v>0</v>
      </c>
      <c r="O24" t="s">
        <v>148</v>
      </c>
      <c r="P24">
        <v>1</v>
      </c>
      <c r="Q24" t="str">
        <f t="shared" si="0"/>
        <v xml:space="preserve">newArray(0, 1, 1, 1, 1, 4, 4, 4, 4, 2, 4, 1, 2, 4, 4, 2, 2, 3, 3, 1, 4, 4, </v>
      </c>
      <c r="R24" t="str">
        <f t="shared" si="0"/>
        <v xml:space="preserve">newArray(0, 0, 0, 1, 1, 0, 0, 4, 4, 0, 1, 4, 0, 1, 1, 2, 2, 0, 1, 3, 2, 2, </v>
      </c>
      <c r="S24" t="str">
        <f t="shared" si="1"/>
        <v xml:space="preserve">newArray(0, 1, 2, 2, 2, 1, 2, 2, 2, 1, 1, 2, 2, 2, 2, 2, 2, 1, 1, 2, 1, 2, </v>
      </c>
      <c r="T24" t="str">
        <f t="shared" si="2"/>
        <v xml:space="preserve">newArray(0, 0, 0, 1, 2, 0, 0, 1, 2, 0, 1, 1, 0, 1, 2, 1, 2, 0, 1, 1, 1, 1, </v>
      </c>
      <c r="U24" t="str">
        <f t="shared" si="3"/>
        <v xml:space="preserve">newArray(0x000000, 0x00003F, 0x00007F, 0x0000BF, 0x0000FF, 0x003F00, 0x007F00, 0x00BF00, 0x00FF00, 0x3F0000, 0x003F3F, 0x003F7F, 0x7F0000, 0x007F3F, 0x007F7F, 0xBF0000, 0xFF0000, 0x3F003F, 0x3F007F, 0x3F00BF, 0x3F3F00, 0x3F7F00, </v>
      </c>
    </row>
    <row r="25" spans="1:21">
      <c r="A25">
        <v>113</v>
      </c>
      <c r="B25">
        <v>3</v>
      </c>
      <c r="C25">
        <v>2</v>
      </c>
      <c r="D25">
        <v>1</v>
      </c>
      <c r="E25">
        <v>1</v>
      </c>
      <c r="F25">
        <v>127</v>
      </c>
      <c r="G25">
        <v>0</v>
      </c>
      <c r="H25">
        <v>127</v>
      </c>
      <c r="I25">
        <v>127</v>
      </c>
      <c r="J25">
        <v>0</v>
      </c>
      <c r="K25">
        <v>0</v>
      </c>
      <c r="L25">
        <v>127</v>
      </c>
      <c r="M25">
        <v>0</v>
      </c>
      <c r="N25">
        <v>63</v>
      </c>
      <c r="O25" t="s">
        <v>99</v>
      </c>
      <c r="P25">
        <v>1</v>
      </c>
      <c r="Q25" t="str">
        <f t="shared" si="0"/>
        <v xml:space="preserve">newArray(0, 1, 1, 1, 1, 4, 4, 4, 4, 2, 4, 1, 2, 4, 4, 2, 2, 3, 3, 1, 4, 4, 3, </v>
      </c>
      <c r="R25" t="str">
        <f t="shared" si="0"/>
        <v xml:space="preserve">newArray(0, 0, 0, 1, 1, 0, 0, 4, 4, 0, 1, 4, 0, 1, 1, 2, 2, 0, 1, 3, 2, 2, 2, </v>
      </c>
      <c r="S25" t="str">
        <f t="shared" si="1"/>
        <v xml:space="preserve">newArray(0, 1, 2, 2, 2, 1, 2, 2, 2, 1, 1, 2, 2, 2, 2, 2, 2, 1, 1, 2, 1, 2, 1, </v>
      </c>
      <c r="T25" t="str">
        <f t="shared" si="2"/>
        <v xml:space="preserve">newArray(0, 0, 0, 1, 2, 0, 0, 1, 2, 0, 1, 1, 0, 1, 2, 1, 2, 0, 1, 1, 1, 1, 1, </v>
      </c>
      <c r="U25" t="str">
        <f t="shared" si="3"/>
        <v xml:space="preserve">newArray(0x000000, 0x00003F, 0x00007F, 0x0000BF, 0x0000FF, 0x003F00, 0x007F00, 0x00BF00, 0x00FF00, 0x3F0000, 0x003F3F, 0x003F7F, 0x7F0000, 0x007F3F, 0x007F7F, 0xBF0000, 0xFF0000, 0x3F003F, 0x3F007F, 0x3F00BF, 0x3F3F00, 0x3F7F00, 0x7F003F, </v>
      </c>
    </row>
    <row r="26" spans="1:21">
      <c r="A26">
        <v>53</v>
      </c>
      <c r="B26">
        <v>3</v>
      </c>
      <c r="C26">
        <v>0</v>
      </c>
      <c r="D26">
        <v>2</v>
      </c>
      <c r="E26">
        <v>0</v>
      </c>
      <c r="F26">
        <v>255</v>
      </c>
      <c r="G26">
        <v>0</v>
      </c>
      <c r="H26">
        <v>255</v>
      </c>
      <c r="I26">
        <v>0</v>
      </c>
      <c r="J26">
        <v>0</v>
      </c>
      <c r="K26">
        <v>0</v>
      </c>
      <c r="L26">
        <v>127</v>
      </c>
      <c r="M26">
        <v>0</v>
      </c>
      <c r="N26">
        <v>127</v>
      </c>
      <c r="O26" t="s">
        <v>101</v>
      </c>
      <c r="P26">
        <v>1</v>
      </c>
      <c r="Q26" t="str">
        <f t="shared" si="0"/>
        <v xml:space="preserve">newArray(0, 1, 1, 1, 1, 4, 4, 4, 4, 2, 4, 1, 2, 4, 4, 2, 2, 3, 3, 1, 4, 4, 3, 3, </v>
      </c>
      <c r="R26" t="str">
        <f t="shared" si="0"/>
        <v xml:space="preserve">newArray(0, 0, 0, 1, 1, 0, 0, 4, 4, 0, 1, 4, 0, 1, 1, 2, 2, 0, 1, 3, 2, 2, 2, 0, </v>
      </c>
      <c r="S26" t="str">
        <f t="shared" si="1"/>
        <v xml:space="preserve">newArray(0, 1, 2, 2, 2, 1, 2, 2, 2, 1, 1, 2, 2, 2, 2, 2, 2, 1, 1, 2, 1, 2, 1, 2, </v>
      </c>
      <c r="T26" t="str">
        <f t="shared" si="2"/>
        <v xml:space="preserve">newArray(0, 0, 0, 1, 2, 0, 0, 1, 2, 0, 1, 1, 0, 1, 2, 1, 2, 0, 1, 1, 1, 1, 1, 0, </v>
      </c>
      <c r="U26" t="str">
        <f t="shared" si="3"/>
        <v xml:space="preserve">newArray(0x000000, 0x00003F, 0x00007F, 0x0000BF, 0x0000FF, 0x003F00, 0x007F00, 0x00BF00, 0x00FF00, 0x3F0000, 0x003F3F, 0x003F7F, 0x7F0000, 0x007F3F, 0x007F7F, 0xBF0000, 0xFF0000, 0x3F003F, 0x3F007F, 0x3F00BF, 0x3F3F00, 0x3F7F00, 0x7F003F, 0x7F007F, </v>
      </c>
    </row>
    <row r="27" spans="1:21">
      <c r="A27">
        <v>133</v>
      </c>
      <c r="B27">
        <v>3</v>
      </c>
      <c r="C27">
        <v>1</v>
      </c>
      <c r="D27">
        <v>2</v>
      </c>
      <c r="E27">
        <v>1</v>
      </c>
      <c r="F27">
        <v>255</v>
      </c>
      <c r="G27">
        <v>0</v>
      </c>
      <c r="H27">
        <v>255</v>
      </c>
      <c r="I27">
        <v>0</v>
      </c>
      <c r="J27">
        <v>0</v>
      </c>
      <c r="K27">
        <v>127</v>
      </c>
      <c r="L27">
        <v>127</v>
      </c>
      <c r="M27">
        <v>0</v>
      </c>
      <c r="N27">
        <v>191</v>
      </c>
      <c r="O27" t="s">
        <v>149</v>
      </c>
      <c r="P27">
        <v>1</v>
      </c>
      <c r="Q27" t="str">
        <f t="shared" si="0"/>
        <v xml:space="preserve">newArray(0, 1, 1, 1, 1, 4, 4, 4, 4, 2, 4, 1, 2, 4, 4, 2, 2, 3, 3, 1, 4, 4, 3, 3, 3, </v>
      </c>
      <c r="R27" t="str">
        <f t="shared" si="0"/>
        <v xml:space="preserve">newArray(0, 0, 0, 1, 1, 0, 0, 4, 4, 0, 1, 4, 0, 1, 1, 2, 2, 0, 1, 3, 2, 2, 2, 0, 1, </v>
      </c>
      <c r="S27" t="str">
        <f t="shared" si="1"/>
        <v xml:space="preserve">newArray(0, 1, 2, 2, 2, 1, 2, 2, 2, 1, 1, 2, 2, 2, 2, 2, 2, 1, 1, 2, 1, 2, 1, 2, 2, </v>
      </c>
      <c r="T27" t="str">
        <f t="shared" si="2"/>
        <v xml:space="preserve">newArray(0, 0, 0, 1, 2, 0, 0, 1, 2, 0, 1, 1, 0, 1, 2, 1, 2, 0, 1, 1, 1, 1, 1, 0, 1, </v>
      </c>
      <c r="U27" t="str">
        <f t="shared" si="3"/>
        <v xml:space="preserve">newArray(0x000000, 0x00003F, 0x00007F, 0x0000BF, 0x0000FF, 0x003F00, 0x007F00, 0x00BF00, 0x00FF00, 0x3F0000, 0x003F3F, 0x003F7F, 0x7F0000, 0x007F3F, 0x007F7F, 0xBF0000, 0xFF0000, 0x3F003F, 0x3F007F, 0x3F00BF, 0x3F3F00, 0x3F7F00, 0x7F003F, 0x7F007F, 0x7F00BF, </v>
      </c>
    </row>
    <row r="28" spans="1:21">
      <c r="A28">
        <v>208</v>
      </c>
      <c r="B28">
        <v>3</v>
      </c>
      <c r="C28">
        <v>1</v>
      </c>
      <c r="D28">
        <v>2</v>
      </c>
      <c r="E28">
        <v>2</v>
      </c>
      <c r="F28">
        <v>255</v>
      </c>
      <c r="G28">
        <v>0</v>
      </c>
      <c r="H28">
        <v>255</v>
      </c>
      <c r="I28">
        <v>0</v>
      </c>
      <c r="J28">
        <v>0</v>
      </c>
      <c r="K28">
        <v>255</v>
      </c>
      <c r="L28">
        <v>127</v>
      </c>
      <c r="M28">
        <v>0</v>
      </c>
      <c r="N28">
        <v>255</v>
      </c>
      <c r="O28" t="s">
        <v>150</v>
      </c>
      <c r="P28">
        <v>1</v>
      </c>
      <c r="Q28" t="str">
        <f t="shared" si="0"/>
        <v xml:space="preserve">newArray(0, 1, 1, 1, 1, 4, 4, 4, 4, 2, 4, 1, 2, 4, 4, 2, 2, 3, 3, 1, 4, 4, 3, 3, 3, 3, </v>
      </c>
      <c r="R28" t="str">
        <f t="shared" si="0"/>
        <v xml:space="preserve">newArray(0, 0, 0, 1, 1, 0, 0, 4, 4, 0, 1, 4, 0, 1, 1, 2, 2, 0, 1, 3, 2, 2, 2, 0, 1, 1, </v>
      </c>
      <c r="S28" t="str">
        <f t="shared" si="1"/>
        <v xml:space="preserve">newArray(0, 1, 2, 2, 2, 1, 2, 2, 2, 1, 1, 2, 2, 2, 2, 2, 2, 1, 1, 2, 1, 2, 1, 2, 2, 2, </v>
      </c>
      <c r="T28" t="str">
        <f t="shared" si="2"/>
        <v xml:space="preserve">newArray(0, 0, 0, 1, 2, 0, 0, 1, 2, 0, 1, 1, 0, 1, 2, 1, 2, 0, 1, 1, 1, 1, 1, 0, 1, 2, </v>
      </c>
      <c r="U28" t="str">
        <f t="shared" si="3"/>
        <v xml:space="preserve">newArray(0x000000, 0x00003F, 0x00007F, 0x0000BF, 0x0000FF, 0x003F00, 0x007F00, 0x00BF00, 0x00FF00, 0x3F0000, 0x003F3F, 0x003F7F, 0x7F0000, 0x007F3F, 0x007F7F, 0xBF0000, 0xFF0000, 0x3F003F, 0x3F007F, 0x3F00BF, 0x3F3F00, 0x3F7F00, 0x7F003F, 0x7F007F, 0x7F00BF, 0x7F00FF, </v>
      </c>
    </row>
    <row r="29" spans="1:21">
      <c r="A29">
        <v>147</v>
      </c>
      <c r="B29">
        <v>2</v>
      </c>
      <c r="C29">
        <v>4</v>
      </c>
      <c r="D29">
        <v>2</v>
      </c>
      <c r="E29">
        <v>1</v>
      </c>
      <c r="F29">
        <v>255</v>
      </c>
      <c r="G29">
        <v>0</v>
      </c>
      <c r="H29">
        <v>0</v>
      </c>
      <c r="I29">
        <v>0</v>
      </c>
      <c r="J29">
        <v>127</v>
      </c>
      <c r="K29">
        <v>0</v>
      </c>
      <c r="L29">
        <v>127</v>
      </c>
      <c r="M29">
        <v>63</v>
      </c>
      <c r="N29">
        <v>0</v>
      </c>
      <c r="O29" t="s">
        <v>151</v>
      </c>
      <c r="P29">
        <v>1</v>
      </c>
      <c r="Q29" t="str">
        <f t="shared" si="0"/>
        <v xml:space="preserve">newArray(0, 1, 1, 1, 1, 4, 4, 4, 4, 2, 4, 1, 2, 4, 4, 2, 2, 3, 3, 1, 4, 4, 3, 3, 3, 3, 2, </v>
      </c>
      <c r="R29" t="str">
        <f t="shared" si="0"/>
        <v xml:space="preserve">newArray(0, 0, 0, 1, 1, 0, 0, 4, 4, 0, 1, 4, 0, 1, 1, 2, 2, 0, 1, 3, 2, 2, 2, 0, 1, 1, 4, </v>
      </c>
      <c r="S29" t="str">
        <f t="shared" si="1"/>
        <v xml:space="preserve">newArray(0, 1, 2, 2, 2, 1, 2, 2, 2, 1, 1, 2, 2, 2, 2, 2, 2, 1, 1, 2, 1, 2, 1, 2, 2, 2, 2, </v>
      </c>
      <c r="T29" t="str">
        <f t="shared" si="2"/>
        <v xml:space="preserve">newArray(0, 0, 0, 1, 2, 0, 0, 1, 2, 0, 1, 1, 0, 1, 2, 1, 2, 0, 1, 1, 1, 1, 1, 0, 1, 2, 1, </v>
      </c>
      <c r="U29" t="str">
        <f t="shared" si="3"/>
        <v xml:space="preserve">newArray(0x000000, 0x00003F, 0x00007F, 0x0000BF, 0x0000FF, 0x003F00, 0x007F00, 0x00BF00, 0x00FF00, 0x3F0000, 0x003F3F, 0x003F7F, 0x7F0000, 0x007F3F, 0x007F7F, 0xBF0000, 0xFF0000, 0x3F003F, 0x3F007F, 0x3F00BF, 0x3F3F00, 0x3F7F00, 0x7F003F, 0x7F007F, 0x7F00BF, 0x7F00FF, 0x7F3F00, </v>
      </c>
    </row>
    <row r="30" spans="1:21">
      <c r="A30">
        <v>214</v>
      </c>
      <c r="B30">
        <v>4</v>
      </c>
      <c r="C30">
        <v>2</v>
      </c>
      <c r="D30">
        <v>2</v>
      </c>
      <c r="E30">
        <v>2</v>
      </c>
      <c r="F30">
        <v>0</v>
      </c>
      <c r="G30">
        <v>255</v>
      </c>
      <c r="H30">
        <v>0</v>
      </c>
      <c r="I30">
        <v>255</v>
      </c>
      <c r="J30">
        <v>0</v>
      </c>
      <c r="K30">
        <v>0</v>
      </c>
      <c r="L30">
        <v>127</v>
      </c>
      <c r="M30">
        <v>127</v>
      </c>
      <c r="N30">
        <v>0</v>
      </c>
      <c r="O30" t="s">
        <v>152</v>
      </c>
      <c r="P30">
        <v>1</v>
      </c>
      <c r="Q30" t="str">
        <f t="shared" si="0"/>
        <v xml:space="preserve">newArray(0, 1, 1, 1, 1, 4, 4, 4, 4, 2, 4, 1, 2, 4, 4, 2, 2, 3, 3, 1, 4, 4, 3, 3, 3, 3, 2, 4, </v>
      </c>
      <c r="R30" t="str">
        <f t="shared" si="0"/>
        <v xml:space="preserve">newArray(0, 0, 0, 1, 1, 0, 0, 4, 4, 0, 1, 4, 0, 1, 1, 2, 2, 0, 1, 3, 2, 2, 2, 0, 1, 1, 4, 2, </v>
      </c>
      <c r="S30" t="str">
        <f t="shared" si="1"/>
        <v xml:space="preserve">newArray(0, 1, 2, 2, 2, 1, 2, 2, 2, 1, 1, 2, 2, 2, 2, 2, 2, 1, 1, 2, 1, 2, 1, 2, 2, 2, 2, 2, </v>
      </c>
      <c r="T30" t="str">
        <f t="shared" si="2"/>
        <v xml:space="preserve">newArray(0, 0, 0, 1, 2, 0, 0, 1, 2, 0, 1, 1, 0, 1, 2, 1, 2, 0, 1, 1, 1, 1, 1, 0, 1, 2, 1, 2, </v>
      </c>
      <c r="U30" t="str">
        <f t="shared" si="3"/>
        <v xml:space="preserve">newArray(0x000000, 0x00003F, 0x00007F, 0x0000BF, 0x0000FF, 0x003F00, 0x007F00, 0x00BF00, 0x00FF00, 0x3F0000, 0x003F3F, 0x003F7F, 0x7F0000, 0x007F3F, 0x007F7F, 0xBF0000, 0xFF0000, 0x3F003F, 0x3F007F, 0x3F00BF, 0x3F3F00, 0x3F7F00, 0x7F003F, 0x7F007F, 0x7F00BF, 0x7F00FF, 0x7F3F00, 0x7F7F00, </v>
      </c>
    </row>
    <row r="31" spans="1:21">
      <c r="A31">
        <v>142</v>
      </c>
      <c r="B31">
        <v>2</v>
      </c>
      <c r="C31">
        <v>3</v>
      </c>
      <c r="D31">
        <v>2</v>
      </c>
      <c r="E31">
        <v>1</v>
      </c>
      <c r="F31">
        <v>255</v>
      </c>
      <c r="G31">
        <v>0</v>
      </c>
      <c r="H31">
        <v>0</v>
      </c>
      <c r="I31">
        <v>127</v>
      </c>
      <c r="J31">
        <v>0</v>
      </c>
      <c r="K31">
        <v>127</v>
      </c>
      <c r="L31">
        <v>191</v>
      </c>
      <c r="M31">
        <v>0</v>
      </c>
      <c r="N31">
        <v>63</v>
      </c>
      <c r="O31" t="s">
        <v>108</v>
      </c>
      <c r="P31">
        <v>1</v>
      </c>
      <c r="Q31" t="str">
        <f t="shared" si="0"/>
        <v xml:space="preserve">newArray(0, 1, 1, 1, 1, 4, 4, 4, 4, 2, 4, 1, 2, 4, 4, 2, 2, 3, 3, 1, 4, 4, 3, 3, 3, 3, 2, 4, 2, </v>
      </c>
      <c r="R31" t="str">
        <f t="shared" si="0"/>
        <v xml:space="preserve">newArray(0, 0, 0, 1, 1, 0, 0, 4, 4, 0, 1, 4, 0, 1, 1, 2, 2, 0, 1, 3, 2, 2, 2, 0, 1, 1, 4, 2, 3, </v>
      </c>
      <c r="S31" t="str">
        <f t="shared" si="1"/>
        <v xml:space="preserve">newArray(0, 1, 2, 2, 2, 1, 2, 2, 2, 1, 1, 2, 2, 2, 2, 2, 2, 1, 1, 2, 1, 2, 1, 2, 2, 2, 2, 2, 2, </v>
      </c>
      <c r="T31" t="str">
        <f t="shared" si="2"/>
        <v xml:space="preserve">newArray(0, 0, 0, 1, 2, 0, 0, 1, 2, 0, 1, 1, 0, 1, 2, 1, 2, 0, 1, 1, 1, 1, 1, 0, 1, 2, 1, 2, 1, </v>
      </c>
      <c r="U31" t="str">
        <f t="shared" si="3"/>
        <v xml:space="preserve">newArray(0x000000, 0x00003F, 0x00007F, 0x0000BF, 0x0000FF, 0x003F00, 0x007F00, 0x00BF00, 0x00FF00, 0x3F0000, 0x003F3F, 0x003F7F, 0x7F0000, 0x007F3F, 0x007F7F, 0xBF0000, 0xFF0000, 0x3F003F, 0x3F007F, 0x3F00BF, 0x3F3F00, 0x3F7F00, 0x7F003F, 0x7F007F, 0x7F00BF, 0x7F00FF, 0x7F3F00, 0x7F7F00, 0xBF003F, </v>
      </c>
    </row>
    <row r="32" spans="1:21">
      <c r="A32">
        <v>138</v>
      </c>
      <c r="B32">
        <v>3</v>
      </c>
      <c r="C32">
        <v>2</v>
      </c>
      <c r="D32">
        <v>2</v>
      </c>
      <c r="E32">
        <v>1</v>
      </c>
      <c r="F32">
        <v>255</v>
      </c>
      <c r="G32">
        <v>0</v>
      </c>
      <c r="H32">
        <v>255</v>
      </c>
      <c r="I32">
        <v>127</v>
      </c>
      <c r="J32">
        <v>0</v>
      </c>
      <c r="K32">
        <v>0</v>
      </c>
      <c r="L32">
        <v>191</v>
      </c>
      <c r="M32">
        <v>0</v>
      </c>
      <c r="N32">
        <v>127</v>
      </c>
      <c r="O32" t="s">
        <v>105</v>
      </c>
      <c r="P32">
        <v>1</v>
      </c>
      <c r="Q32" t="str">
        <f t="shared" si="0"/>
        <v xml:space="preserve">newArray(0, 1, 1, 1, 1, 4, 4, 4, 4, 2, 4, 1, 2, 4, 4, 2, 2, 3, 3, 1, 4, 4, 3, 3, 3, 3, 2, 4, 2, 3, </v>
      </c>
      <c r="R32" t="str">
        <f t="shared" si="0"/>
        <v xml:space="preserve">newArray(0, 0, 0, 1, 1, 0, 0, 4, 4, 0, 1, 4, 0, 1, 1, 2, 2, 0, 1, 3, 2, 2, 2, 0, 1, 1, 4, 2, 3, 2, </v>
      </c>
      <c r="S32" t="str">
        <f t="shared" si="1"/>
        <v xml:space="preserve">newArray(0, 1, 2, 2, 2, 1, 2, 2, 2, 1, 1, 2, 2, 2, 2, 2, 2, 1, 1, 2, 1, 2, 1, 2, 2, 2, 2, 2, 2, 2, </v>
      </c>
      <c r="T32" t="str">
        <f t="shared" si="2"/>
        <v xml:space="preserve">newArray(0, 0, 0, 1, 2, 0, 0, 1, 2, 0, 1, 1, 0, 1, 2, 1, 2, 0, 1, 1, 1, 1, 1, 0, 1, 2, 1, 2, 1, 1, </v>
      </c>
      <c r="U32" t="str">
        <f t="shared" si="3"/>
        <v xml:space="preserve">newArray(0x000000, 0x00003F, 0x00007F, 0x0000BF, 0x0000FF, 0x003F00, 0x007F00, 0x00BF00, 0x00FF00, 0x3F0000, 0x003F3F, 0x003F7F, 0x7F0000, 0x007F3F, 0x007F7F, 0xBF0000, 0xFF0000, 0x3F003F, 0x3F007F, 0x3F00BF, 0x3F3F00, 0x3F7F00, 0x7F003F, 0x7F007F, 0x7F00BF, 0x7F00FF, 0x7F3F00, 0x7F7F00, 0xBF003F, 0xBF007F, </v>
      </c>
    </row>
    <row r="33" spans="1:21">
      <c r="A33">
        <v>143</v>
      </c>
      <c r="B33">
        <v>3</v>
      </c>
      <c r="C33">
        <v>3</v>
      </c>
      <c r="D33">
        <v>2</v>
      </c>
      <c r="E33">
        <v>1</v>
      </c>
      <c r="F33">
        <v>255</v>
      </c>
      <c r="G33">
        <v>0</v>
      </c>
      <c r="H33">
        <v>255</v>
      </c>
      <c r="I33">
        <v>127</v>
      </c>
      <c r="J33">
        <v>0</v>
      </c>
      <c r="K33">
        <v>127</v>
      </c>
      <c r="L33">
        <v>191</v>
      </c>
      <c r="M33">
        <v>0</v>
      </c>
      <c r="N33">
        <v>191</v>
      </c>
      <c r="O33" t="s">
        <v>109</v>
      </c>
      <c r="P33">
        <v>1</v>
      </c>
      <c r="Q33" t="str">
        <f t="shared" si="0"/>
        <v xml:space="preserve">newArray(0, 1, 1, 1, 1, 4, 4, 4, 4, 2, 4, 1, 2, 4, 4, 2, 2, 3, 3, 1, 4, 4, 3, 3, 3, 3, 2, 4, 2, 3, 3, </v>
      </c>
      <c r="R33" t="str">
        <f t="shared" si="0"/>
        <v xml:space="preserve">newArray(0, 0, 0, 1, 1, 0, 0, 4, 4, 0, 1, 4, 0, 1, 1, 2, 2, 0, 1, 3, 2, 2, 2, 0, 1, 1, 4, 2, 3, 2, 3, </v>
      </c>
      <c r="S33" t="str">
        <f t="shared" si="1"/>
        <v xml:space="preserve">newArray(0, 1, 2, 2, 2, 1, 2, 2, 2, 1, 1, 2, 2, 2, 2, 2, 2, 1, 1, 2, 1, 2, 1, 2, 2, 2, 2, 2, 2, 2, 2, </v>
      </c>
      <c r="T33" t="str">
        <f t="shared" si="2"/>
        <v xml:space="preserve">newArray(0, 0, 0, 1, 2, 0, 0, 1, 2, 0, 1, 1, 0, 1, 2, 1, 2, 0, 1, 1, 1, 1, 1, 0, 1, 2, 1, 2, 1, 1, 1, </v>
      </c>
      <c r="U33" t="str">
        <f t="shared" si="3"/>
        <v xml:space="preserve">newArray(0x000000, 0x00003F, 0x00007F, 0x0000BF, 0x0000FF, 0x003F00, 0x007F00, 0x00BF00, 0x00FF00, 0x3F0000, 0x003F3F, 0x003F7F, 0x7F0000, 0x007F3F, 0x007F7F, 0xBF0000, 0xFF0000, 0x3F003F, 0x3F007F, 0x3F00BF, 0x3F3F00, 0x3F7F00, 0x7F003F, 0x7F007F, 0x7F00BF, 0x7F00FF, 0x7F3F00, 0x7F7F00, 0xBF003F, 0xBF007F, 0xBF00BF, </v>
      </c>
    </row>
    <row r="34" spans="1:21">
      <c r="A34">
        <v>213</v>
      </c>
      <c r="B34">
        <v>3</v>
      </c>
      <c r="C34">
        <v>2</v>
      </c>
      <c r="D34">
        <v>2</v>
      </c>
      <c r="E34">
        <v>2</v>
      </c>
      <c r="F34">
        <v>255</v>
      </c>
      <c r="G34">
        <v>0</v>
      </c>
      <c r="H34">
        <v>255</v>
      </c>
      <c r="I34">
        <v>255</v>
      </c>
      <c r="J34">
        <v>0</v>
      </c>
      <c r="K34">
        <v>0</v>
      </c>
      <c r="L34">
        <v>255</v>
      </c>
      <c r="M34">
        <v>0</v>
      </c>
      <c r="N34">
        <v>127</v>
      </c>
      <c r="O34" t="s">
        <v>45</v>
      </c>
      <c r="P34">
        <v>1</v>
      </c>
      <c r="Q34" t="str">
        <f t="shared" si="0"/>
        <v xml:space="preserve">newArray(0, 1, 1, 1, 1, 4, 4, 4, 4, 2, 4, 1, 2, 4, 4, 2, 2, 3, 3, 1, 4, 4, 3, 3, 3, 3, 2, 4, 2, 3, 3, 3, </v>
      </c>
      <c r="R34" t="str">
        <f t="shared" si="0"/>
        <v xml:space="preserve">newArray(0, 0, 0, 1, 1, 0, 0, 4, 4, 0, 1, 4, 0, 1, 1, 2, 2, 0, 1, 3, 2, 2, 2, 0, 1, 1, 4, 2, 3, 2, 3, 2, </v>
      </c>
      <c r="S34" t="str">
        <f t="shared" si="1"/>
        <v xml:space="preserve">newArray(0, 1, 2, 2, 2, 1, 2, 2, 2, 1, 1, 2, 2, 2, 2, 2, 2, 1, 1, 2, 1, 2, 1, 2, 2, 2, 2, 2, 2, 2, 2, 2, </v>
      </c>
      <c r="T34" t="str">
        <f t="shared" si="2"/>
        <v xml:space="preserve">newArray(0, 0, 0, 1, 2, 0, 0, 1, 2, 0, 1, 1, 0, 1, 2, 1, 2, 0, 1, 1, 1, 1, 1, 0, 1, 2, 1, 2, 1, 1, 1, 2, </v>
      </c>
      <c r="U34" t="str">
        <f t="shared" si="3"/>
        <v xml:space="preserve">newArray(0x000000, 0x00003F, 0x00007F, 0x0000BF, 0x0000FF, 0x003F00, 0x007F00, 0x00BF00, 0x00FF00, 0x3F0000, 0x003F3F, 0x003F7F, 0x7F0000, 0x007F3F, 0x007F7F, 0xBF0000, 0xFF0000, 0x3F003F, 0x3F007F, 0x3F00BF, 0x3F3F00, 0x3F7F00, 0x7F003F, 0x7F007F, 0x7F00BF, 0x7F00FF, 0x7F3F00, 0x7F7F00, 0xBF003F, 0xBF007F, 0xBF00BF, 0xFF007F, </v>
      </c>
    </row>
    <row r="35" spans="1:21">
      <c r="A35">
        <v>218</v>
      </c>
      <c r="B35">
        <v>3</v>
      </c>
      <c r="C35">
        <v>3</v>
      </c>
      <c r="D35">
        <v>2</v>
      </c>
      <c r="E35">
        <v>2</v>
      </c>
      <c r="F35">
        <v>255</v>
      </c>
      <c r="G35">
        <v>0</v>
      </c>
      <c r="H35">
        <v>255</v>
      </c>
      <c r="I35">
        <v>255</v>
      </c>
      <c r="J35">
        <v>0</v>
      </c>
      <c r="K35">
        <v>255</v>
      </c>
      <c r="L35">
        <v>255</v>
      </c>
      <c r="M35">
        <v>0</v>
      </c>
      <c r="N35">
        <v>255</v>
      </c>
      <c r="O35" t="s">
        <v>22</v>
      </c>
      <c r="P35">
        <v>1</v>
      </c>
      <c r="Q35" t="str">
        <f t="shared" si="0"/>
        <v xml:space="preserve">newArray(0, 1, 1, 1, 1, 4, 4, 4, 4, 2, 4, 1, 2, 4, 4, 2, 2, 3, 3, 1, 4, 4, 3, 3, 3, 3, 2, 4, 2, 3, 3, 3, 3, </v>
      </c>
      <c r="R35" t="str">
        <f t="shared" si="0"/>
        <v xml:space="preserve">newArray(0, 0, 0, 1, 1, 0, 0, 4, 4, 0, 1, 4, 0, 1, 1, 2, 2, 0, 1, 3, 2, 2, 2, 0, 1, 1, 4, 2, 3, 2, 3, 2, 3, </v>
      </c>
      <c r="S35" t="str">
        <f t="shared" si="1"/>
        <v xml:space="preserve">newArray(0, 1, 2, 2, 2, 1, 2, 2, 2, 1, 1, 2, 2, 2, 2, 2, 2, 1, 1, 2, 1, 2, 1, 2, 2, 2, 2, 2, 2, 2, 2, 2, 2, </v>
      </c>
      <c r="T35" t="str">
        <f t="shared" si="2"/>
        <v xml:space="preserve">newArray(0, 0, 0, 1, 2, 0, 0, 1, 2, 0, 1, 1, 0, 1, 2, 1, 2, 0, 1, 1, 1, 1, 1, 0, 1, 2, 1, 2, 1, 1, 1, 2, 2, </v>
      </c>
      <c r="U35" t="str">
        <f t="shared" si="3"/>
        <v xml:space="preserve">newArray(0x000000, 0x00003F, 0x00007F, 0x0000BF, 0x0000FF, 0x003F00, 0x007F00, 0x00BF00, 0x00FF00, 0x3F0000, 0x003F3F, 0x003F7F, 0x7F0000, 0x007F3F, 0x007F7F, 0xBF0000, 0xFF0000, 0x3F003F, 0x3F007F, 0x3F00BF, 0x3F3F00, 0x3F7F00, 0x7F003F, 0x7F007F, 0x7F00BF, 0x7F00FF, 0x7F3F00, 0x7F7F00, 0xBF003F, 0xBF007F, 0xBF00BF, 0xFF007F, 0xFF00FF, </v>
      </c>
    </row>
    <row r="36" spans="1:21">
      <c r="A36">
        <v>119</v>
      </c>
      <c r="B36">
        <v>4</v>
      </c>
      <c r="C36">
        <v>3</v>
      </c>
      <c r="D36">
        <v>1</v>
      </c>
      <c r="E36">
        <v>1</v>
      </c>
      <c r="F36">
        <v>0</v>
      </c>
      <c r="G36">
        <v>127</v>
      </c>
      <c r="H36">
        <v>0</v>
      </c>
      <c r="I36">
        <v>127</v>
      </c>
      <c r="J36">
        <v>0</v>
      </c>
      <c r="K36">
        <v>127</v>
      </c>
      <c r="L36">
        <v>63</v>
      </c>
      <c r="M36">
        <v>63</v>
      </c>
      <c r="N36">
        <v>63</v>
      </c>
      <c r="O36" t="s">
        <v>136</v>
      </c>
      <c r="P36">
        <v>1</v>
      </c>
      <c r="Q36" t="str">
        <f t="shared" si="0"/>
        <v xml:space="preserve">newArray(0, 1, 1, 1, 1, 4, 4, 4, 4, 2, 4, 1, 2, 4, 4, 2, 2, 3, 3, 1, 4, 4, 3, 3, 3, 3, 2, 4, 2, 3, 3, 3, 3, 4, </v>
      </c>
      <c r="R36" t="str">
        <f t="shared" si="0"/>
        <v xml:space="preserve">newArray(0, 0, 0, 1, 1, 0, 0, 4, 4, 0, 1, 4, 0, 1, 1, 2, 2, 0, 1, 3, 2, 2, 2, 0, 1, 1, 4, 2, 3, 2, 3, 2, 3, 3, </v>
      </c>
      <c r="S36" t="str">
        <f t="shared" si="1"/>
        <v xml:space="preserve">newArray(0, 1, 2, 2, 2, 1, 2, 2, 2, 1, 1, 2, 2, 2, 2, 2, 2, 1, 1, 2, 1, 2, 1, 2, 2, 2, 2, 2, 2, 2, 2, 2, 2, 1, </v>
      </c>
      <c r="T36" t="str">
        <f t="shared" si="2"/>
        <v xml:space="preserve">newArray(0, 0, 0, 1, 2, 0, 0, 1, 2, 0, 1, 1, 0, 1, 2, 1, 2, 0, 1, 1, 1, 1, 1, 0, 1, 2, 1, 2, 1, 1, 1, 2, 2, 1, </v>
      </c>
      <c r="U36" t="str">
        <f t="shared" si="3"/>
        <v xml:space="preserve">newArray(0x000000, 0x00003F, 0x00007F, 0x0000BF, 0x0000FF, 0x003F00, 0x007F00, 0x00BF00, 0x00FF00, 0x3F0000, 0x003F3F, 0x003F7F, 0x7F0000, 0x007F3F, 0x007F7F, 0xBF0000, 0xFF0000, 0x3F003F, 0x3F007F, 0x3F00BF, 0x3F3F00, 0x3F7F00, 0x7F003F, 0x7F007F, 0x7F00BF, 0x7F00FF, 0x7F3F00, 0x7F7F00, 0xBF003F, 0xBF007F, 0xBF00BF, 0xFF007F, 0xFF00FF, 0x3F3F3F, </v>
      </c>
    </row>
    <row r="37" spans="1:21">
      <c r="A37">
        <v>144</v>
      </c>
      <c r="B37">
        <v>4</v>
      </c>
      <c r="C37">
        <v>3</v>
      </c>
      <c r="D37">
        <v>2</v>
      </c>
      <c r="E37">
        <v>1</v>
      </c>
      <c r="F37">
        <v>0</v>
      </c>
      <c r="G37">
        <v>255</v>
      </c>
      <c r="H37">
        <v>0</v>
      </c>
      <c r="I37">
        <v>127</v>
      </c>
      <c r="J37">
        <v>0</v>
      </c>
      <c r="K37">
        <v>127</v>
      </c>
      <c r="L37">
        <v>63</v>
      </c>
      <c r="M37">
        <v>127</v>
      </c>
      <c r="N37">
        <v>63</v>
      </c>
      <c r="O37" t="s">
        <v>137</v>
      </c>
      <c r="P37">
        <v>1</v>
      </c>
      <c r="Q37" t="str">
        <f t="shared" si="0"/>
        <v xml:space="preserve">newArray(0, 1, 1, 1, 1, 4, 4, 4, 4, 2, 4, 1, 2, 4, 4, 2, 2, 3, 3, 1, 4, 4, 3, 3, 3, 3, 2, 4, 2, 3, 3, 3, 3, 4, 4, </v>
      </c>
      <c r="R37" t="str">
        <f t="shared" si="0"/>
        <v xml:space="preserve">newArray(0, 0, 0, 1, 1, 0, 0, 4, 4, 0, 1, 4, 0, 1, 1, 2, 2, 0, 1, 3, 2, 2, 2, 0, 1, 1, 4, 2, 3, 2, 3, 2, 3, 3, 3, </v>
      </c>
      <c r="S37" t="str">
        <f t="shared" si="1"/>
        <v xml:space="preserve">newArray(0, 1, 2, 2, 2, 1, 2, 2, 2, 1, 1, 2, 2, 2, 2, 2, 2, 1, 1, 2, 1, 2, 1, 2, 2, 2, 2, 2, 2, 2, 2, 2, 2, 1, 2, </v>
      </c>
      <c r="T37" t="str">
        <f t="shared" si="2"/>
        <v xml:space="preserve">newArray(0, 0, 0, 1, 2, 0, 0, 1, 2, 0, 1, 1, 0, 1, 2, 1, 2, 0, 1, 1, 1, 1, 1, 0, 1, 2, 1, 2, 1, 1, 1, 2, 2, 1, 1, </v>
      </c>
      <c r="U37" t="str">
        <f t="shared" si="3"/>
        <v xml:space="preserve">newArray(0x000000, 0x00003F, 0x00007F, 0x0000BF, 0x0000FF, 0x003F00, 0x007F00, 0x00BF00, 0x00FF00, 0x3F0000, 0x003F3F, 0x003F7F, 0x7F0000, 0x007F3F, 0x007F7F, 0xBF0000, 0xFF0000, 0x3F003F, 0x3F007F, 0x3F00BF, 0x3F3F00, 0x3F7F00, 0x7F003F, 0x7F007F, 0x7F00BF, 0x7F00FF, 0x7F3F00, 0x7F7F00, 0xBF003F, 0xBF007F, 0xBF00BF, 0xFF007F, 0xFF00FF, 0x3F3F3F, 0x3F7F3F, </v>
      </c>
    </row>
    <row r="38" spans="1:21">
      <c r="A38">
        <v>148</v>
      </c>
      <c r="B38">
        <v>3</v>
      </c>
      <c r="C38">
        <v>4</v>
      </c>
      <c r="D38">
        <v>2</v>
      </c>
      <c r="E38">
        <v>1</v>
      </c>
      <c r="F38">
        <v>255</v>
      </c>
      <c r="G38">
        <v>0</v>
      </c>
      <c r="H38">
        <v>255</v>
      </c>
      <c r="I38">
        <v>0</v>
      </c>
      <c r="J38">
        <v>127</v>
      </c>
      <c r="K38">
        <v>0</v>
      </c>
      <c r="L38">
        <v>127</v>
      </c>
      <c r="M38">
        <v>63</v>
      </c>
      <c r="N38">
        <v>127</v>
      </c>
      <c r="O38" t="s">
        <v>138</v>
      </c>
      <c r="P38">
        <v>1</v>
      </c>
      <c r="Q38" t="str">
        <f t="shared" si="0"/>
        <v xml:space="preserve">newArray(0, 1, 1, 1, 1, 4, 4, 4, 4, 2, 4, 1, 2, 4, 4, 2, 2, 3, 3, 1, 4, 4, 3, 3, 3, 3, 2, 4, 2, 3, 3, 3, 3, 4, 4, 3, </v>
      </c>
      <c r="R38" t="str">
        <f t="shared" si="0"/>
        <v xml:space="preserve">newArray(0, 0, 0, 1, 1, 0, 0, 4, 4, 0, 1, 4, 0, 1, 1, 2, 2, 0, 1, 3, 2, 2, 2, 0, 1, 1, 4, 2, 3, 2, 3, 2, 3, 3, 3, 4, </v>
      </c>
      <c r="S38" t="str">
        <f t="shared" si="1"/>
        <v xml:space="preserve">newArray(0, 1, 2, 2, 2, 1, 2, 2, 2, 1, 1, 2, 2, 2, 2, 2, 2, 1, 1, 2, 1, 2, 1, 2, 2, 2, 2, 2, 2, 2, 2, 2, 2, 1, 2, 2, </v>
      </c>
      <c r="T38" t="str">
        <f t="shared" si="2"/>
        <v xml:space="preserve">newArray(0, 0, 0, 1, 2, 0, 0, 1, 2, 0, 1, 1, 0, 1, 2, 1, 2, 0, 1, 1, 1, 1, 1, 0, 1, 2, 1, 2, 1, 1, 1, 2, 2, 1, 1, 1, </v>
      </c>
      <c r="U38" t="str">
        <f t="shared" si="3"/>
        <v xml:space="preserve">newArray(0x000000, 0x00003F, 0x00007F, 0x0000BF, 0x0000FF, 0x003F00, 0x007F00, 0x00BF00, 0x00FF00, 0x3F0000, 0x003F3F, 0x003F7F, 0x7F0000, 0x007F3F, 0x007F7F, 0xBF0000, 0xFF0000, 0x3F003F, 0x3F007F, 0x3F00BF, 0x3F3F00, 0x3F7F00, 0x7F003F, 0x7F007F, 0x7F00BF, 0x7F00FF, 0x7F3F00, 0x7F7F00, 0xBF003F, 0xBF007F, 0xBF00BF, 0xFF007F, 0xFF00FF, 0x3F3F3F, 0x3F7F3F, 0x7F3F7F, </v>
      </c>
    </row>
    <row r="39" spans="1:21">
      <c r="A39">
        <v>219</v>
      </c>
      <c r="B39">
        <v>4</v>
      </c>
      <c r="C39">
        <v>3</v>
      </c>
      <c r="D39">
        <v>2</v>
      </c>
      <c r="E39">
        <v>2</v>
      </c>
      <c r="F39">
        <v>0</v>
      </c>
      <c r="G39">
        <v>255</v>
      </c>
      <c r="H39">
        <v>0</v>
      </c>
      <c r="I39">
        <v>255</v>
      </c>
      <c r="J39">
        <v>0</v>
      </c>
      <c r="K39">
        <v>255</v>
      </c>
      <c r="L39">
        <v>127</v>
      </c>
      <c r="M39">
        <v>127</v>
      </c>
      <c r="N39">
        <v>127</v>
      </c>
      <c r="O39" t="s">
        <v>139</v>
      </c>
      <c r="P39">
        <v>1</v>
      </c>
      <c r="Q39" t="str">
        <f t="shared" si="0"/>
        <v xml:space="preserve">newArray(0, 1, 1, 1, 1, 4, 4, 4, 4, 2, 4, 1, 2, 4, 4, 2, 2, 3, 3, 1, 4, 4, 3, 3, 3, 3, 2, 4, 2, 3, 3, 3, 3, 4, 4, 3, 4, </v>
      </c>
      <c r="R39" t="str">
        <f t="shared" si="0"/>
        <v xml:space="preserve">newArray(0, 0, 0, 1, 1, 0, 0, 4, 4, 0, 1, 4, 0, 1, 1, 2, 2, 0, 1, 3, 2, 2, 2, 0, 1, 1, 4, 2, 3, 2, 3, 2, 3, 3, 3, 4, 3, </v>
      </c>
      <c r="S39" t="str">
        <f t="shared" si="1"/>
        <v xml:space="preserve">newArray(0, 1, 2, 2, 2, 1, 2, 2, 2, 1, 1, 2, 2, 2, 2, 2, 2, 1, 1, 2, 1, 2, 1, 2, 2, 2, 2, 2, 2, 2, 2, 2, 2, 1, 2, 2, 2, </v>
      </c>
      <c r="T39" t="str">
        <f t="shared" si="2"/>
        <v xml:space="preserve">newArray(0, 0, 0, 1, 2, 0, 0, 1, 2, 0, 1, 1, 0, 1, 2, 1, 2, 0, 1, 1, 1, 1, 1, 0, 1, 2, 1, 2, 1, 1, 1, 2, 2, 1, 1, 1, 2, </v>
      </c>
      <c r="U39" t="str">
        <f t="shared" si="3"/>
        <v xml:space="preserve">newArray(0x000000, 0x00003F, 0x00007F, 0x0000BF, 0x0000FF, 0x003F00, 0x007F00, 0x00BF00, 0x00FF00, 0x3F0000, 0x003F3F, 0x003F7F, 0x7F0000, 0x007F3F, 0x007F7F, 0xBF0000, 0xFF0000, 0x3F003F, 0x3F007F, 0x3F00BF, 0x3F3F00, 0x3F7F00, 0x7F003F, 0x7F007F, 0x7F00BF, 0x7F00FF, 0x7F3F00, 0x7F7F00, 0xBF003F, 0xBF007F, 0xBF00BF, 0xFF007F, 0xFF00FF, 0x3F3F3F, 0x3F7F3F, 0x7F3F7F, 0x7F7F7F, 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226"/>
  <sheetViews>
    <sheetView zoomScale="85" zoomScaleNormal="85" workbookViewId="0">
      <selection activeCell="H206" sqref="H206"/>
    </sheetView>
  </sheetViews>
  <sheetFormatPr defaultRowHeight="15"/>
  <cols>
    <col min="13" max="13" width="11.28515625" customWidth="1"/>
    <col min="14" max="14" width="15" customWidth="1"/>
    <col min="15" max="15" width="15" bestFit="1" customWidth="1"/>
  </cols>
  <sheetData>
    <row r="1" spans="1:14">
      <c r="A1" t="s">
        <v>6</v>
      </c>
      <c r="B1" t="s">
        <v>7</v>
      </c>
      <c r="C1" t="s">
        <v>8</v>
      </c>
      <c r="D1" t="s">
        <v>4</v>
      </c>
      <c r="E1" t="s">
        <v>5</v>
      </c>
      <c r="F1" t="s">
        <v>84</v>
      </c>
      <c r="G1" t="s">
        <v>85</v>
      </c>
      <c r="H1" t="s">
        <v>9</v>
      </c>
      <c r="I1" t="s">
        <v>10</v>
      </c>
      <c r="J1" t="s">
        <v>86</v>
      </c>
      <c r="K1" t="s">
        <v>87</v>
      </c>
      <c r="M1" s="16" t="s">
        <v>87</v>
      </c>
      <c r="N1" t="s">
        <v>89</v>
      </c>
    </row>
    <row r="2" spans="1:14" hidden="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11</v>
      </c>
      <c r="K2" t="str">
        <f>RIGHT("00000"&amp;J2,6)</f>
        <v>000000</v>
      </c>
      <c r="M2" t="s">
        <v>74</v>
      </c>
      <c r="N2" s="18">
        <v>49</v>
      </c>
    </row>
    <row r="3" spans="1:14" hidden="1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11</v>
      </c>
      <c r="K3" t="str">
        <f t="shared" ref="K3:K66" si="0">RIGHT("00000"&amp;J3,6)</f>
        <v>000000</v>
      </c>
      <c r="M3" t="s">
        <v>75</v>
      </c>
      <c r="N3" s="18">
        <v>14</v>
      </c>
    </row>
    <row r="4" spans="1:14" hidden="1">
      <c r="A4">
        <v>2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11</v>
      </c>
      <c r="K4" t="str">
        <f t="shared" si="0"/>
        <v>000000</v>
      </c>
      <c r="M4" t="s">
        <v>77</v>
      </c>
      <c r="N4" s="18">
        <v>15</v>
      </c>
    </row>
    <row r="5" spans="1:14" hidden="1">
      <c r="A5">
        <v>3</v>
      </c>
      <c r="B5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11</v>
      </c>
      <c r="K5" t="str">
        <f t="shared" si="0"/>
        <v>000000</v>
      </c>
      <c r="M5" t="s">
        <v>81</v>
      </c>
      <c r="N5" s="18">
        <v>2</v>
      </c>
    </row>
    <row r="6" spans="1:14">
      <c r="A6">
        <v>4</v>
      </c>
      <c r="B6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11</v>
      </c>
      <c r="K6" t="str">
        <f t="shared" si="0"/>
        <v>000000</v>
      </c>
      <c r="M6" t="s">
        <v>82</v>
      </c>
      <c r="N6" s="18">
        <v>1</v>
      </c>
    </row>
    <row r="7" spans="1:14" hidden="1">
      <c r="A7">
        <v>5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11</v>
      </c>
      <c r="K7" t="str">
        <f t="shared" si="0"/>
        <v>000000</v>
      </c>
      <c r="M7" t="s">
        <v>76</v>
      </c>
      <c r="N7" s="18">
        <v>2</v>
      </c>
    </row>
    <row r="8" spans="1:14" hidden="1">
      <c r="A8">
        <v>6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11</v>
      </c>
      <c r="K8" t="str">
        <f t="shared" si="0"/>
        <v>000000</v>
      </c>
      <c r="M8" t="s">
        <v>78</v>
      </c>
      <c r="N8" s="18">
        <v>14</v>
      </c>
    </row>
    <row r="9" spans="1:14" hidden="1">
      <c r="A9">
        <v>7</v>
      </c>
      <c r="B9">
        <v>2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11</v>
      </c>
      <c r="K9" t="str">
        <f t="shared" si="0"/>
        <v>000000</v>
      </c>
      <c r="M9" t="s">
        <v>79</v>
      </c>
      <c r="N9" s="18">
        <v>2</v>
      </c>
    </row>
    <row r="10" spans="1:14" hidden="1">
      <c r="A10">
        <v>8</v>
      </c>
      <c r="B10">
        <v>3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11</v>
      </c>
      <c r="K10" t="str">
        <f t="shared" si="0"/>
        <v>000000</v>
      </c>
      <c r="M10" t="s">
        <v>80</v>
      </c>
      <c r="N10" s="18">
        <v>2</v>
      </c>
    </row>
    <row r="11" spans="1:14" hidden="1">
      <c r="A11">
        <v>9</v>
      </c>
      <c r="B11">
        <v>4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11</v>
      </c>
      <c r="K11" t="str">
        <f t="shared" si="0"/>
        <v>000000</v>
      </c>
      <c r="M11" t="s">
        <v>83</v>
      </c>
      <c r="N11" s="18">
        <v>1</v>
      </c>
    </row>
    <row r="12" spans="1:14" hidden="1">
      <c r="A12">
        <v>10</v>
      </c>
      <c r="B12">
        <v>0</v>
      </c>
      <c r="C12">
        <v>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11</v>
      </c>
      <c r="K12" t="str">
        <f t="shared" si="0"/>
        <v>000000</v>
      </c>
      <c r="M12" t="s">
        <v>14</v>
      </c>
      <c r="N12" s="18">
        <v>14</v>
      </c>
    </row>
    <row r="13" spans="1:14" hidden="1">
      <c r="A13">
        <v>11</v>
      </c>
      <c r="B13">
        <v>1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11</v>
      </c>
      <c r="K13" t="str">
        <f t="shared" si="0"/>
        <v>000000</v>
      </c>
      <c r="M13" t="s">
        <v>26</v>
      </c>
      <c r="N13" s="18">
        <v>2</v>
      </c>
    </row>
    <row r="14" spans="1:14" hidden="1">
      <c r="A14">
        <v>12</v>
      </c>
      <c r="B14">
        <v>2</v>
      </c>
      <c r="C14">
        <v>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11</v>
      </c>
      <c r="K14" t="str">
        <f t="shared" si="0"/>
        <v>000000</v>
      </c>
      <c r="M14" t="s">
        <v>16</v>
      </c>
      <c r="N14" s="18">
        <v>16</v>
      </c>
    </row>
    <row r="15" spans="1:14" hidden="1">
      <c r="A15">
        <v>13</v>
      </c>
      <c r="B15">
        <v>3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11</v>
      </c>
      <c r="K15" t="str">
        <f t="shared" si="0"/>
        <v>000000</v>
      </c>
      <c r="M15" t="s">
        <v>30</v>
      </c>
      <c r="N15" s="18">
        <v>2</v>
      </c>
    </row>
    <row r="16" spans="1:14" hidden="1">
      <c r="A16">
        <v>14</v>
      </c>
      <c r="B16">
        <v>4</v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11</v>
      </c>
      <c r="K16" t="str">
        <f t="shared" si="0"/>
        <v>000000</v>
      </c>
      <c r="M16" t="s">
        <v>43</v>
      </c>
      <c r="N16" s="18">
        <v>2</v>
      </c>
    </row>
    <row r="17" spans="1:14" hidden="1">
      <c r="A17">
        <v>15</v>
      </c>
      <c r="B17">
        <v>0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11</v>
      </c>
      <c r="K17" t="str">
        <f t="shared" si="0"/>
        <v>000000</v>
      </c>
      <c r="M17" t="s">
        <v>46</v>
      </c>
      <c r="N17" s="18">
        <v>2</v>
      </c>
    </row>
    <row r="18" spans="1:14" hidden="1">
      <c r="A18">
        <v>16</v>
      </c>
      <c r="B18">
        <v>1</v>
      </c>
      <c r="C18">
        <v>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11</v>
      </c>
      <c r="K18" t="str">
        <f t="shared" si="0"/>
        <v>000000</v>
      </c>
      <c r="M18" t="s">
        <v>47</v>
      </c>
      <c r="N18" s="18">
        <v>2</v>
      </c>
    </row>
    <row r="19" spans="1:14" hidden="1">
      <c r="A19">
        <v>17</v>
      </c>
      <c r="B19">
        <v>2</v>
      </c>
      <c r="C19">
        <v>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11</v>
      </c>
      <c r="K19" t="str">
        <f t="shared" si="0"/>
        <v>000000</v>
      </c>
      <c r="M19" t="s">
        <v>21</v>
      </c>
      <c r="N19" s="18">
        <v>1</v>
      </c>
    </row>
    <row r="20" spans="1:14" hidden="1">
      <c r="A20">
        <v>18</v>
      </c>
      <c r="B20">
        <v>3</v>
      </c>
      <c r="C20">
        <v>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11</v>
      </c>
      <c r="K20" t="str">
        <f t="shared" si="0"/>
        <v>000000</v>
      </c>
      <c r="M20" t="s">
        <v>45</v>
      </c>
      <c r="N20" s="18">
        <v>2</v>
      </c>
    </row>
    <row r="21" spans="1:14" hidden="1">
      <c r="A21">
        <v>19</v>
      </c>
      <c r="B21">
        <v>4</v>
      </c>
      <c r="C21">
        <v>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11</v>
      </c>
      <c r="K21" t="str">
        <f t="shared" si="0"/>
        <v>000000</v>
      </c>
      <c r="M21" t="s">
        <v>22</v>
      </c>
      <c r="N21" s="18">
        <v>1</v>
      </c>
    </row>
    <row r="22" spans="1:14" hidden="1">
      <c r="A22">
        <v>20</v>
      </c>
      <c r="B22">
        <v>0</v>
      </c>
      <c r="C22">
        <v>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11</v>
      </c>
      <c r="K22" t="str">
        <f t="shared" si="0"/>
        <v>000000</v>
      </c>
      <c r="M22" t="s">
        <v>93</v>
      </c>
      <c r="N22" s="18">
        <v>14</v>
      </c>
    </row>
    <row r="23" spans="1:14" hidden="1">
      <c r="A23">
        <v>21</v>
      </c>
      <c r="B23">
        <v>1</v>
      </c>
      <c r="C23">
        <v>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11</v>
      </c>
      <c r="K23" t="str">
        <f t="shared" si="0"/>
        <v>000000</v>
      </c>
      <c r="M23" t="s">
        <v>94</v>
      </c>
      <c r="N23" s="18">
        <v>16</v>
      </c>
    </row>
    <row r="24" spans="1:14" hidden="1">
      <c r="A24">
        <v>22</v>
      </c>
      <c r="B24">
        <v>2</v>
      </c>
      <c r="C24">
        <v>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11</v>
      </c>
      <c r="K24" t="str">
        <f t="shared" si="0"/>
        <v>000000</v>
      </c>
      <c r="M24" t="s">
        <v>114</v>
      </c>
      <c r="N24" s="18">
        <v>14</v>
      </c>
    </row>
    <row r="25" spans="1:14" hidden="1">
      <c r="A25">
        <v>23</v>
      </c>
      <c r="B25">
        <v>3</v>
      </c>
      <c r="C25">
        <v>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11</v>
      </c>
      <c r="K25" t="str">
        <f t="shared" si="0"/>
        <v>000000</v>
      </c>
      <c r="M25" t="s">
        <v>96</v>
      </c>
      <c r="N25" s="18">
        <v>4</v>
      </c>
    </row>
    <row r="26" spans="1:14" hidden="1">
      <c r="A26">
        <v>24</v>
      </c>
      <c r="B26">
        <v>4</v>
      </c>
      <c r="C26">
        <v>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11</v>
      </c>
      <c r="K26" t="str">
        <f t="shared" si="0"/>
        <v>000000</v>
      </c>
      <c r="M26" t="s">
        <v>115</v>
      </c>
      <c r="N26" s="18">
        <v>2</v>
      </c>
    </row>
    <row r="27" spans="1:14" hidden="1">
      <c r="A27">
        <v>25</v>
      </c>
      <c r="B27">
        <v>0</v>
      </c>
      <c r="C27">
        <v>0</v>
      </c>
      <c r="D27">
        <v>1</v>
      </c>
      <c r="E27">
        <v>0</v>
      </c>
      <c r="F27" t="s">
        <v>11</v>
      </c>
      <c r="G27">
        <v>0</v>
      </c>
      <c r="H27">
        <v>0</v>
      </c>
      <c r="I27">
        <v>0</v>
      </c>
      <c r="J27" t="s">
        <v>11</v>
      </c>
      <c r="K27" t="str">
        <f t="shared" si="0"/>
        <v>000000</v>
      </c>
      <c r="M27" t="s">
        <v>98</v>
      </c>
      <c r="N27" s="18">
        <v>1</v>
      </c>
    </row>
    <row r="28" spans="1:14" hidden="1">
      <c r="A28">
        <v>26</v>
      </c>
      <c r="B28">
        <v>1</v>
      </c>
      <c r="C28">
        <v>0</v>
      </c>
      <c r="D28">
        <v>1</v>
      </c>
      <c r="E28">
        <v>0</v>
      </c>
      <c r="F28" t="s">
        <v>12</v>
      </c>
      <c r="G28">
        <v>0</v>
      </c>
      <c r="H28">
        <v>127</v>
      </c>
      <c r="I28">
        <v>0</v>
      </c>
      <c r="J28" t="s">
        <v>13</v>
      </c>
      <c r="K28" t="str">
        <f t="shared" si="0"/>
        <v>00003F</v>
      </c>
      <c r="M28" t="s">
        <v>99</v>
      </c>
      <c r="N28" s="18">
        <v>2</v>
      </c>
    </row>
    <row r="29" spans="1:14" hidden="1">
      <c r="A29">
        <v>27</v>
      </c>
      <c r="B29">
        <v>2</v>
      </c>
      <c r="C29">
        <v>0</v>
      </c>
      <c r="D29">
        <v>1</v>
      </c>
      <c r="E29">
        <v>0</v>
      </c>
      <c r="F29" t="s">
        <v>90</v>
      </c>
      <c r="G29">
        <v>0</v>
      </c>
      <c r="H29">
        <v>8323072</v>
      </c>
      <c r="I29">
        <v>0</v>
      </c>
      <c r="J29" t="s">
        <v>93</v>
      </c>
      <c r="K29" t="str">
        <f t="shared" si="0"/>
        <v>3F8000</v>
      </c>
      <c r="M29" t="s">
        <v>100</v>
      </c>
      <c r="N29" s="18">
        <v>2</v>
      </c>
    </row>
    <row r="30" spans="1:14" hidden="1">
      <c r="A30">
        <v>28</v>
      </c>
      <c r="B30">
        <v>3</v>
      </c>
      <c r="C30">
        <v>0</v>
      </c>
      <c r="D30">
        <v>1</v>
      </c>
      <c r="E30">
        <v>0</v>
      </c>
      <c r="F30" t="s">
        <v>91</v>
      </c>
      <c r="G30">
        <v>0</v>
      </c>
      <c r="H30">
        <v>8323199</v>
      </c>
      <c r="I30">
        <v>0</v>
      </c>
      <c r="J30" t="s">
        <v>94</v>
      </c>
      <c r="K30" t="str">
        <f t="shared" si="0"/>
        <v>3F803F</v>
      </c>
      <c r="M30" t="s">
        <v>101</v>
      </c>
      <c r="N30" s="18">
        <v>1</v>
      </c>
    </row>
    <row r="31" spans="1:14">
      <c r="A31">
        <v>29</v>
      </c>
      <c r="B31">
        <v>4</v>
      </c>
      <c r="C31">
        <v>0</v>
      </c>
      <c r="D31">
        <v>1</v>
      </c>
      <c r="E31">
        <v>0</v>
      </c>
      <c r="F31" t="s">
        <v>92</v>
      </c>
      <c r="G31">
        <v>0</v>
      </c>
      <c r="H31">
        <v>32512</v>
      </c>
      <c r="I31">
        <v>0</v>
      </c>
      <c r="J31" t="s">
        <v>95</v>
      </c>
      <c r="K31" t="str">
        <f t="shared" si="0"/>
        <v>003F80</v>
      </c>
      <c r="M31" t="s">
        <v>102</v>
      </c>
      <c r="N31" s="18">
        <v>2</v>
      </c>
    </row>
    <row r="32" spans="1:14" hidden="1">
      <c r="A32">
        <v>30</v>
      </c>
      <c r="B32">
        <v>0</v>
      </c>
      <c r="C32">
        <v>1</v>
      </c>
      <c r="D32">
        <v>1</v>
      </c>
      <c r="E32">
        <v>0</v>
      </c>
      <c r="F32" t="s">
        <v>11</v>
      </c>
      <c r="G32">
        <v>0</v>
      </c>
      <c r="H32">
        <v>0</v>
      </c>
      <c r="I32">
        <v>0</v>
      </c>
      <c r="J32" t="s">
        <v>11</v>
      </c>
      <c r="K32" t="str">
        <f t="shared" si="0"/>
        <v>000000</v>
      </c>
      <c r="M32" t="s">
        <v>116</v>
      </c>
      <c r="N32" s="18">
        <v>1</v>
      </c>
    </row>
    <row r="33" spans="1:14" hidden="1">
      <c r="A33">
        <v>31</v>
      </c>
      <c r="B33">
        <v>1</v>
      </c>
      <c r="C33">
        <v>1</v>
      </c>
      <c r="D33">
        <v>1</v>
      </c>
      <c r="E33">
        <v>0</v>
      </c>
      <c r="F33" t="s">
        <v>12</v>
      </c>
      <c r="G33">
        <v>0</v>
      </c>
      <c r="H33">
        <v>127</v>
      </c>
      <c r="I33">
        <v>0</v>
      </c>
      <c r="J33" t="s">
        <v>13</v>
      </c>
      <c r="K33" t="str">
        <f t="shared" si="0"/>
        <v>00003F</v>
      </c>
      <c r="M33" t="s">
        <v>104</v>
      </c>
      <c r="N33" s="18">
        <v>2</v>
      </c>
    </row>
    <row r="34" spans="1:14" hidden="1">
      <c r="A34">
        <v>32</v>
      </c>
      <c r="B34">
        <v>2</v>
      </c>
      <c r="C34">
        <v>1</v>
      </c>
      <c r="D34">
        <v>1</v>
      </c>
      <c r="E34">
        <v>0</v>
      </c>
      <c r="F34" t="s">
        <v>90</v>
      </c>
      <c r="G34">
        <v>0</v>
      </c>
      <c r="H34">
        <v>8323072</v>
      </c>
      <c r="I34">
        <v>0</v>
      </c>
      <c r="J34" t="s">
        <v>93</v>
      </c>
      <c r="K34" t="str">
        <f t="shared" si="0"/>
        <v>3F8000</v>
      </c>
      <c r="M34" t="s">
        <v>105</v>
      </c>
      <c r="N34" s="18">
        <v>2</v>
      </c>
    </row>
    <row r="35" spans="1:14" hidden="1">
      <c r="A35">
        <v>33</v>
      </c>
      <c r="B35">
        <v>3</v>
      </c>
      <c r="C35">
        <v>1</v>
      </c>
      <c r="D35">
        <v>1</v>
      </c>
      <c r="E35">
        <v>0</v>
      </c>
      <c r="F35" t="s">
        <v>91</v>
      </c>
      <c r="G35">
        <v>0</v>
      </c>
      <c r="H35">
        <v>8323199</v>
      </c>
      <c r="I35">
        <v>0</v>
      </c>
      <c r="J35" t="s">
        <v>94</v>
      </c>
      <c r="K35" t="str">
        <f t="shared" si="0"/>
        <v>3F803F</v>
      </c>
      <c r="M35" t="s">
        <v>106</v>
      </c>
      <c r="N35" s="18">
        <v>2</v>
      </c>
    </row>
    <row r="36" spans="1:14" hidden="1">
      <c r="A36">
        <v>34</v>
      </c>
      <c r="B36">
        <v>4</v>
      </c>
      <c r="C36">
        <v>1</v>
      </c>
      <c r="D36">
        <v>1</v>
      </c>
      <c r="E36">
        <v>0</v>
      </c>
      <c r="F36" t="s">
        <v>92</v>
      </c>
      <c r="G36">
        <v>0</v>
      </c>
      <c r="H36">
        <v>32512</v>
      </c>
      <c r="I36">
        <v>0</v>
      </c>
      <c r="J36" t="s">
        <v>95</v>
      </c>
      <c r="K36" t="str">
        <f t="shared" si="0"/>
        <v>003F80</v>
      </c>
      <c r="M36" t="s">
        <v>107</v>
      </c>
      <c r="N36" s="18">
        <v>2</v>
      </c>
    </row>
    <row r="37" spans="1:14" hidden="1">
      <c r="A37">
        <v>35</v>
      </c>
      <c r="B37">
        <v>0</v>
      </c>
      <c r="C37">
        <v>2</v>
      </c>
      <c r="D37">
        <v>1</v>
      </c>
      <c r="E37">
        <v>0</v>
      </c>
      <c r="F37" t="s">
        <v>11</v>
      </c>
      <c r="G37">
        <v>0</v>
      </c>
      <c r="H37">
        <v>0</v>
      </c>
      <c r="I37">
        <v>0</v>
      </c>
      <c r="J37" t="s">
        <v>11</v>
      </c>
      <c r="K37" t="str">
        <f t="shared" si="0"/>
        <v>000000</v>
      </c>
      <c r="M37" t="s">
        <v>108</v>
      </c>
      <c r="N37" s="18">
        <v>2</v>
      </c>
    </row>
    <row r="38" spans="1:14" hidden="1">
      <c r="A38">
        <v>36</v>
      </c>
      <c r="B38">
        <v>1</v>
      </c>
      <c r="C38">
        <v>2</v>
      </c>
      <c r="D38">
        <v>1</v>
      </c>
      <c r="E38">
        <v>0</v>
      </c>
      <c r="F38" t="s">
        <v>12</v>
      </c>
      <c r="G38">
        <v>0</v>
      </c>
      <c r="H38">
        <v>127</v>
      </c>
      <c r="I38">
        <v>0</v>
      </c>
      <c r="J38" t="s">
        <v>13</v>
      </c>
      <c r="K38" t="str">
        <f t="shared" si="0"/>
        <v>00003F</v>
      </c>
      <c r="M38" t="s">
        <v>109</v>
      </c>
      <c r="N38" s="18">
        <v>2</v>
      </c>
    </row>
    <row r="39" spans="1:14" hidden="1">
      <c r="A39">
        <v>37</v>
      </c>
      <c r="B39">
        <v>2</v>
      </c>
      <c r="C39">
        <v>2</v>
      </c>
      <c r="D39">
        <v>1</v>
      </c>
      <c r="E39">
        <v>0</v>
      </c>
      <c r="F39" t="s">
        <v>90</v>
      </c>
      <c r="G39">
        <v>0</v>
      </c>
      <c r="H39">
        <v>8323072</v>
      </c>
      <c r="I39">
        <v>0</v>
      </c>
      <c r="J39" t="s">
        <v>93</v>
      </c>
      <c r="K39" t="str">
        <f t="shared" si="0"/>
        <v>3F8000</v>
      </c>
      <c r="M39" t="s">
        <v>110</v>
      </c>
      <c r="N39" s="18">
        <v>2</v>
      </c>
    </row>
    <row r="40" spans="1:14" hidden="1">
      <c r="A40">
        <v>38</v>
      </c>
      <c r="B40">
        <v>3</v>
      </c>
      <c r="C40">
        <v>2</v>
      </c>
      <c r="D40">
        <v>1</v>
      </c>
      <c r="E40">
        <v>0</v>
      </c>
      <c r="F40" t="s">
        <v>91</v>
      </c>
      <c r="G40">
        <v>0</v>
      </c>
      <c r="H40">
        <v>8323199</v>
      </c>
      <c r="I40">
        <v>0</v>
      </c>
      <c r="J40" t="s">
        <v>94</v>
      </c>
      <c r="K40" t="str">
        <f t="shared" si="0"/>
        <v>3F803F</v>
      </c>
      <c r="M40" t="s">
        <v>111</v>
      </c>
      <c r="N40" s="18">
        <v>2</v>
      </c>
    </row>
    <row r="41" spans="1:14" hidden="1">
      <c r="A41">
        <v>39</v>
      </c>
      <c r="B41">
        <v>4</v>
      </c>
      <c r="C41">
        <v>2</v>
      </c>
      <c r="D41">
        <v>1</v>
      </c>
      <c r="E41">
        <v>0</v>
      </c>
      <c r="F41" t="s">
        <v>92</v>
      </c>
      <c r="G41">
        <v>0</v>
      </c>
      <c r="H41">
        <v>32512</v>
      </c>
      <c r="I41">
        <v>0</v>
      </c>
      <c r="J41" t="s">
        <v>95</v>
      </c>
      <c r="K41" t="str">
        <f t="shared" si="0"/>
        <v>003F80</v>
      </c>
      <c r="M41" t="s">
        <v>112</v>
      </c>
      <c r="N41" s="18">
        <v>2</v>
      </c>
    </row>
    <row r="42" spans="1:14" hidden="1">
      <c r="A42">
        <v>40</v>
      </c>
      <c r="B42">
        <v>0</v>
      </c>
      <c r="C42">
        <v>3</v>
      </c>
      <c r="D42">
        <v>1</v>
      </c>
      <c r="E42">
        <v>0</v>
      </c>
      <c r="F42" t="s">
        <v>11</v>
      </c>
      <c r="G42">
        <v>0</v>
      </c>
      <c r="H42">
        <v>0</v>
      </c>
      <c r="I42">
        <v>0</v>
      </c>
      <c r="J42" t="s">
        <v>11</v>
      </c>
      <c r="K42" t="str">
        <f t="shared" si="0"/>
        <v>000000</v>
      </c>
      <c r="M42" t="s">
        <v>117</v>
      </c>
      <c r="N42" s="18">
        <v>2</v>
      </c>
    </row>
    <row r="43" spans="1:14" hidden="1">
      <c r="A43">
        <v>41</v>
      </c>
      <c r="B43">
        <v>1</v>
      </c>
      <c r="C43">
        <v>3</v>
      </c>
      <c r="D43">
        <v>1</v>
      </c>
      <c r="E43">
        <v>0</v>
      </c>
      <c r="F43" t="s">
        <v>12</v>
      </c>
      <c r="G43">
        <v>0</v>
      </c>
      <c r="H43">
        <v>127</v>
      </c>
      <c r="I43">
        <v>0</v>
      </c>
      <c r="J43" t="s">
        <v>13</v>
      </c>
      <c r="K43" t="str">
        <f t="shared" si="0"/>
        <v>00003F</v>
      </c>
      <c r="M43" t="s">
        <v>88</v>
      </c>
      <c r="N43" s="18">
        <v>225</v>
      </c>
    </row>
    <row r="44" spans="1:14" hidden="1">
      <c r="A44">
        <v>42</v>
      </c>
      <c r="B44">
        <v>2</v>
      </c>
      <c r="C44">
        <v>3</v>
      </c>
      <c r="D44">
        <v>1</v>
      </c>
      <c r="E44">
        <v>0</v>
      </c>
      <c r="F44" t="s">
        <v>90</v>
      </c>
      <c r="G44">
        <v>0</v>
      </c>
      <c r="H44">
        <v>8323072</v>
      </c>
      <c r="I44">
        <v>0</v>
      </c>
      <c r="J44" t="s">
        <v>93</v>
      </c>
      <c r="K44" t="str">
        <f t="shared" si="0"/>
        <v>3F8000</v>
      </c>
    </row>
    <row r="45" spans="1:14" hidden="1">
      <c r="A45">
        <v>43</v>
      </c>
      <c r="B45">
        <v>3</v>
      </c>
      <c r="C45">
        <v>3</v>
      </c>
      <c r="D45">
        <v>1</v>
      </c>
      <c r="E45">
        <v>0</v>
      </c>
      <c r="F45" t="s">
        <v>91</v>
      </c>
      <c r="G45">
        <v>0</v>
      </c>
      <c r="H45">
        <v>8323199</v>
      </c>
      <c r="I45">
        <v>0</v>
      </c>
      <c r="J45" t="s">
        <v>94</v>
      </c>
      <c r="K45" t="str">
        <f t="shared" si="0"/>
        <v>3F803F</v>
      </c>
    </row>
    <row r="46" spans="1:14" hidden="1">
      <c r="A46">
        <v>44</v>
      </c>
      <c r="B46">
        <v>4</v>
      </c>
      <c r="C46">
        <v>3</v>
      </c>
      <c r="D46">
        <v>1</v>
      </c>
      <c r="E46">
        <v>0</v>
      </c>
      <c r="F46" t="s">
        <v>92</v>
      </c>
      <c r="G46">
        <v>0</v>
      </c>
      <c r="H46">
        <v>32512</v>
      </c>
      <c r="I46">
        <v>0</v>
      </c>
      <c r="J46" t="s">
        <v>95</v>
      </c>
      <c r="K46" t="str">
        <f t="shared" si="0"/>
        <v>003F80</v>
      </c>
    </row>
    <row r="47" spans="1:14" hidden="1">
      <c r="A47">
        <v>45</v>
      </c>
      <c r="B47">
        <v>0</v>
      </c>
      <c r="C47">
        <v>4</v>
      </c>
      <c r="D47">
        <v>1</v>
      </c>
      <c r="E47">
        <v>0</v>
      </c>
      <c r="F47" t="s">
        <v>11</v>
      </c>
      <c r="G47">
        <v>0</v>
      </c>
      <c r="H47">
        <v>0</v>
      </c>
      <c r="I47">
        <v>0</v>
      </c>
      <c r="J47" t="s">
        <v>11</v>
      </c>
      <c r="K47" t="str">
        <f t="shared" si="0"/>
        <v>000000</v>
      </c>
    </row>
    <row r="48" spans="1:14" hidden="1">
      <c r="A48">
        <v>46</v>
      </c>
      <c r="B48">
        <v>1</v>
      </c>
      <c r="C48">
        <v>4</v>
      </c>
      <c r="D48">
        <v>1</v>
      </c>
      <c r="E48">
        <v>0</v>
      </c>
      <c r="F48" t="s">
        <v>12</v>
      </c>
      <c r="G48">
        <v>0</v>
      </c>
      <c r="H48">
        <v>127</v>
      </c>
      <c r="I48">
        <v>0</v>
      </c>
      <c r="J48" t="s">
        <v>13</v>
      </c>
      <c r="K48" t="str">
        <f t="shared" si="0"/>
        <v>00003F</v>
      </c>
    </row>
    <row r="49" spans="1:11" hidden="1">
      <c r="A49">
        <v>47</v>
      </c>
      <c r="B49">
        <v>2</v>
      </c>
      <c r="C49">
        <v>4</v>
      </c>
      <c r="D49">
        <v>1</v>
      </c>
      <c r="E49">
        <v>0</v>
      </c>
      <c r="F49" t="s">
        <v>90</v>
      </c>
      <c r="G49">
        <v>0</v>
      </c>
      <c r="H49">
        <v>8323072</v>
      </c>
      <c r="I49">
        <v>0</v>
      </c>
      <c r="J49" t="s">
        <v>93</v>
      </c>
      <c r="K49" t="str">
        <f t="shared" si="0"/>
        <v>3F8000</v>
      </c>
    </row>
    <row r="50" spans="1:11" hidden="1">
      <c r="A50">
        <v>48</v>
      </c>
      <c r="B50">
        <v>3</v>
      </c>
      <c r="C50">
        <v>4</v>
      </c>
      <c r="D50">
        <v>1</v>
      </c>
      <c r="E50">
        <v>0</v>
      </c>
      <c r="F50" t="s">
        <v>91</v>
      </c>
      <c r="G50">
        <v>0</v>
      </c>
      <c r="H50">
        <v>8323199</v>
      </c>
      <c r="I50">
        <v>0</v>
      </c>
      <c r="J50" t="s">
        <v>94</v>
      </c>
      <c r="K50" t="str">
        <f t="shared" si="0"/>
        <v>3F803F</v>
      </c>
    </row>
    <row r="51" spans="1:11" hidden="1">
      <c r="A51">
        <v>49</v>
      </c>
      <c r="B51">
        <v>4</v>
      </c>
      <c r="C51">
        <v>4</v>
      </c>
      <c r="D51">
        <v>1</v>
      </c>
      <c r="E51">
        <v>0</v>
      </c>
      <c r="F51" t="s">
        <v>92</v>
      </c>
      <c r="G51">
        <v>0</v>
      </c>
      <c r="H51">
        <v>32512</v>
      </c>
      <c r="I51">
        <v>0</v>
      </c>
      <c r="J51" t="s">
        <v>95</v>
      </c>
      <c r="K51" t="str">
        <f t="shared" si="0"/>
        <v>003F80</v>
      </c>
    </row>
    <row r="52" spans="1:11" hidden="1">
      <c r="A52">
        <v>50</v>
      </c>
      <c r="B52">
        <v>0</v>
      </c>
      <c r="C52">
        <v>0</v>
      </c>
      <c r="D52">
        <v>2</v>
      </c>
      <c r="E52">
        <v>0</v>
      </c>
      <c r="F52" t="s">
        <v>11</v>
      </c>
      <c r="G52">
        <v>0</v>
      </c>
      <c r="H52">
        <v>0</v>
      </c>
      <c r="I52">
        <v>0</v>
      </c>
      <c r="J52" t="s">
        <v>11</v>
      </c>
      <c r="K52" t="str">
        <f t="shared" si="0"/>
        <v>000000</v>
      </c>
    </row>
    <row r="53" spans="1:11" hidden="1">
      <c r="A53">
        <v>51</v>
      </c>
      <c r="B53">
        <v>1</v>
      </c>
      <c r="C53">
        <v>0</v>
      </c>
      <c r="D53">
        <v>2</v>
      </c>
      <c r="E53">
        <v>0</v>
      </c>
      <c r="F53" t="s">
        <v>20</v>
      </c>
      <c r="G53">
        <v>0</v>
      </c>
      <c r="H53">
        <v>255</v>
      </c>
      <c r="I53">
        <v>0</v>
      </c>
      <c r="J53" t="s">
        <v>12</v>
      </c>
      <c r="K53" t="str">
        <f t="shared" si="0"/>
        <v>00007F</v>
      </c>
    </row>
    <row r="54" spans="1:11" hidden="1">
      <c r="A54">
        <v>52</v>
      </c>
      <c r="B54">
        <v>2</v>
      </c>
      <c r="C54">
        <v>0</v>
      </c>
      <c r="D54">
        <v>2</v>
      </c>
      <c r="E54">
        <v>0</v>
      </c>
      <c r="F54" t="s">
        <v>21</v>
      </c>
      <c r="G54">
        <v>0</v>
      </c>
      <c r="H54">
        <v>16711680</v>
      </c>
      <c r="I54">
        <v>0</v>
      </c>
      <c r="J54" t="s">
        <v>14</v>
      </c>
      <c r="K54" t="str">
        <f t="shared" si="0"/>
        <v>7F8000</v>
      </c>
    </row>
    <row r="55" spans="1:11" hidden="1">
      <c r="A55">
        <v>53</v>
      </c>
      <c r="B55">
        <v>3</v>
      </c>
      <c r="C55">
        <v>0</v>
      </c>
      <c r="D55">
        <v>2</v>
      </c>
      <c r="E55">
        <v>0</v>
      </c>
      <c r="F55" t="s">
        <v>22</v>
      </c>
      <c r="G55">
        <v>0</v>
      </c>
      <c r="H55">
        <v>16711935</v>
      </c>
      <c r="I55">
        <v>0</v>
      </c>
      <c r="J55" t="s">
        <v>16</v>
      </c>
      <c r="K55" t="str">
        <f t="shared" si="0"/>
        <v>7F807F</v>
      </c>
    </row>
    <row r="56" spans="1:11">
      <c r="A56">
        <v>54</v>
      </c>
      <c r="B56">
        <v>4</v>
      </c>
      <c r="C56">
        <v>0</v>
      </c>
      <c r="D56">
        <v>2</v>
      </c>
      <c r="E56">
        <v>0</v>
      </c>
      <c r="F56" t="s">
        <v>23</v>
      </c>
      <c r="G56">
        <v>0</v>
      </c>
      <c r="H56">
        <v>65280</v>
      </c>
      <c r="I56">
        <v>0</v>
      </c>
      <c r="J56" t="s">
        <v>18</v>
      </c>
      <c r="K56" t="str">
        <f t="shared" si="0"/>
        <v>007F80</v>
      </c>
    </row>
    <row r="57" spans="1:11" hidden="1">
      <c r="A57">
        <v>55</v>
      </c>
      <c r="B57">
        <v>0</v>
      </c>
      <c r="C57">
        <v>1</v>
      </c>
      <c r="D57">
        <v>2</v>
      </c>
      <c r="E57">
        <v>0</v>
      </c>
      <c r="F57" t="s">
        <v>11</v>
      </c>
      <c r="G57">
        <v>0</v>
      </c>
      <c r="H57">
        <v>0</v>
      </c>
      <c r="I57">
        <v>0</v>
      </c>
      <c r="J57" t="s">
        <v>11</v>
      </c>
      <c r="K57" t="str">
        <f t="shared" si="0"/>
        <v>000000</v>
      </c>
    </row>
    <row r="58" spans="1:11" hidden="1">
      <c r="A58">
        <v>56</v>
      </c>
      <c r="B58">
        <v>1</v>
      </c>
      <c r="C58">
        <v>1</v>
      </c>
      <c r="D58">
        <v>2</v>
      </c>
      <c r="E58">
        <v>0</v>
      </c>
      <c r="F58" t="s">
        <v>20</v>
      </c>
      <c r="G58">
        <v>0</v>
      </c>
      <c r="H58">
        <v>255</v>
      </c>
      <c r="I58">
        <v>0</v>
      </c>
      <c r="J58" t="s">
        <v>12</v>
      </c>
      <c r="K58" t="str">
        <f t="shared" si="0"/>
        <v>00007F</v>
      </c>
    </row>
    <row r="59" spans="1:11" hidden="1">
      <c r="A59">
        <v>57</v>
      </c>
      <c r="B59">
        <v>2</v>
      </c>
      <c r="C59">
        <v>1</v>
      </c>
      <c r="D59">
        <v>2</v>
      </c>
      <c r="E59">
        <v>0</v>
      </c>
      <c r="F59" t="s">
        <v>21</v>
      </c>
      <c r="G59">
        <v>0</v>
      </c>
      <c r="H59">
        <v>16711680</v>
      </c>
      <c r="I59">
        <v>0</v>
      </c>
      <c r="J59" t="s">
        <v>14</v>
      </c>
      <c r="K59" t="str">
        <f t="shared" si="0"/>
        <v>7F8000</v>
      </c>
    </row>
    <row r="60" spans="1:11" hidden="1">
      <c r="A60">
        <v>58</v>
      </c>
      <c r="B60">
        <v>3</v>
      </c>
      <c r="C60">
        <v>1</v>
      </c>
      <c r="D60">
        <v>2</v>
      </c>
      <c r="E60">
        <v>0</v>
      </c>
      <c r="F60" t="s">
        <v>22</v>
      </c>
      <c r="G60">
        <v>0</v>
      </c>
      <c r="H60">
        <v>16711935</v>
      </c>
      <c r="I60">
        <v>0</v>
      </c>
      <c r="J60" t="s">
        <v>16</v>
      </c>
      <c r="K60" t="str">
        <f t="shared" si="0"/>
        <v>7F807F</v>
      </c>
    </row>
    <row r="61" spans="1:11" hidden="1">
      <c r="A61">
        <v>59</v>
      </c>
      <c r="B61">
        <v>4</v>
      </c>
      <c r="C61">
        <v>1</v>
      </c>
      <c r="D61">
        <v>2</v>
      </c>
      <c r="E61">
        <v>0</v>
      </c>
      <c r="F61" t="s">
        <v>23</v>
      </c>
      <c r="G61">
        <v>0</v>
      </c>
      <c r="H61">
        <v>65280</v>
      </c>
      <c r="I61">
        <v>0</v>
      </c>
      <c r="J61" t="s">
        <v>18</v>
      </c>
      <c r="K61" t="str">
        <f t="shared" si="0"/>
        <v>007F80</v>
      </c>
    </row>
    <row r="62" spans="1:11" hidden="1">
      <c r="A62">
        <v>60</v>
      </c>
      <c r="B62">
        <v>0</v>
      </c>
      <c r="C62">
        <v>2</v>
      </c>
      <c r="D62">
        <v>2</v>
      </c>
      <c r="E62">
        <v>0</v>
      </c>
      <c r="F62" t="s">
        <v>11</v>
      </c>
      <c r="G62">
        <v>0</v>
      </c>
      <c r="H62">
        <v>0</v>
      </c>
      <c r="I62">
        <v>0</v>
      </c>
      <c r="J62" t="s">
        <v>11</v>
      </c>
      <c r="K62" t="str">
        <f t="shared" si="0"/>
        <v>000000</v>
      </c>
    </row>
    <row r="63" spans="1:11" hidden="1">
      <c r="A63">
        <v>61</v>
      </c>
      <c r="B63">
        <v>1</v>
      </c>
      <c r="C63">
        <v>2</v>
      </c>
      <c r="D63">
        <v>2</v>
      </c>
      <c r="E63">
        <v>0</v>
      </c>
      <c r="F63" t="s">
        <v>20</v>
      </c>
      <c r="G63">
        <v>0</v>
      </c>
      <c r="H63">
        <v>255</v>
      </c>
      <c r="I63">
        <v>0</v>
      </c>
      <c r="J63" t="s">
        <v>12</v>
      </c>
      <c r="K63" t="str">
        <f t="shared" si="0"/>
        <v>00007F</v>
      </c>
    </row>
    <row r="64" spans="1:11" hidden="1">
      <c r="A64">
        <v>62</v>
      </c>
      <c r="B64">
        <v>2</v>
      </c>
      <c r="C64">
        <v>2</v>
      </c>
      <c r="D64">
        <v>2</v>
      </c>
      <c r="E64">
        <v>0</v>
      </c>
      <c r="F64" t="s">
        <v>21</v>
      </c>
      <c r="G64">
        <v>0</v>
      </c>
      <c r="H64">
        <v>16711680</v>
      </c>
      <c r="I64">
        <v>0</v>
      </c>
      <c r="J64" t="s">
        <v>14</v>
      </c>
      <c r="K64" t="str">
        <f t="shared" si="0"/>
        <v>7F8000</v>
      </c>
    </row>
    <row r="65" spans="1:11" hidden="1">
      <c r="A65">
        <v>63</v>
      </c>
      <c r="B65">
        <v>3</v>
      </c>
      <c r="C65">
        <v>2</v>
      </c>
      <c r="D65">
        <v>2</v>
      </c>
      <c r="E65">
        <v>0</v>
      </c>
      <c r="F65" t="s">
        <v>22</v>
      </c>
      <c r="G65">
        <v>0</v>
      </c>
      <c r="H65">
        <v>16711935</v>
      </c>
      <c r="I65">
        <v>0</v>
      </c>
      <c r="J65" t="s">
        <v>16</v>
      </c>
      <c r="K65" t="str">
        <f t="shared" si="0"/>
        <v>7F807F</v>
      </c>
    </row>
    <row r="66" spans="1:11" hidden="1">
      <c r="A66">
        <v>64</v>
      </c>
      <c r="B66">
        <v>4</v>
      </c>
      <c r="C66">
        <v>2</v>
      </c>
      <c r="D66">
        <v>2</v>
      </c>
      <c r="E66">
        <v>0</v>
      </c>
      <c r="F66" t="s">
        <v>23</v>
      </c>
      <c r="G66">
        <v>0</v>
      </c>
      <c r="H66">
        <v>65280</v>
      </c>
      <c r="I66">
        <v>0</v>
      </c>
      <c r="J66" t="s">
        <v>18</v>
      </c>
      <c r="K66" t="str">
        <f t="shared" si="0"/>
        <v>007F80</v>
      </c>
    </row>
    <row r="67" spans="1:11" hidden="1">
      <c r="A67">
        <v>65</v>
      </c>
      <c r="B67">
        <v>0</v>
      </c>
      <c r="C67">
        <v>3</v>
      </c>
      <c r="D67">
        <v>2</v>
      </c>
      <c r="E67">
        <v>0</v>
      </c>
      <c r="F67" t="s">
        <v>11</v>
      </c>
      <c r="G67">
        <v>0</v>
      </c>
      <c r="H67">
        <v>0</v>
      </c>
      <c r="I67">
        <v>0</v>
      </c>
      <c r="J67" t="s">
        <v>11</v>
      </c>
      <c r="K67" t="str">
        <f t="shared" ref="K67:K130" si="1">RIGHT("00000"&amp;J67,6)</f>
        <v>000000</v>
      </c>
    </row>
    <row r="68" spans="1:11" hidden="1">
      <c r="A68">
        <v>66</v>
      </c>
      <c r="B68">
        <v>1</v>
      </c>
      <c r="C68">
        <v>3</v>
      </c>
      <c r="D68">
        <v>2</v>
      </c>
      <c r="E68">
        <v>0</v>
      </c>
      <c r="F68" t="s">
        <v>20</v>
      </c>
      <c r="G68">
        <v>0</v>
      </c>
      <c r="H68">
        <v>255</v>
      </c>
      <c r="I68">
        <v>0</v>
      </c>
      <c r="J68" t="s">
        <v>12</v>
      </c>
      <c r="K68" t="str">
        <f t="shared" si="1"/>
        <v>00007F</v>
      </c>
    </row>
    <row r="69" spans="1:11" hidden="1">
      <c r="A69">
        <v>67</v>
      </c>
      <c r="B69">
        <v>2</v>
      </c>
      <c r="C69">
        <v>3</v>
      </c>
      <c r="D69">
        <v>2</v>
      </c>
      <c r="E69">
        <v>0</v>
      </c>
      <c r="F69" t="s">
        <v>21</v>
      </c>
      <c r="G69">
        <v>0</v>
      </c>
      <c r="H69">
        <v>16711680</v>
      </c>
      <c r="I69">
        <v>0</v>
      </c>
      <c r="J69" t="s">
        <v>14</v>
      </c>
      <c r="K69" t="str">
        <f t="shared" si="1"/>
        <v>7F8000</v>
      </c>
    </row>
    <row r="70" spans="1:11" hidden="1">
      <c r="A70">
        <v>68</v>
      </c>
      <c r="B70">
        <v>3</v>
      </c>
      <c r="C70">
        <v>3</v>
      </c>
      <c r="D70">
        <v>2</v>
      </c>
      <c r="E70">
        <v>0</v>
      </c>
      <c r="F70" t="s">
        <v>22</v>
      </c>
      <c r="G70">
        <v>0</v>
      </c>
      <c r="H70">
        <v>16711935</v>
      </c>
      <c r="I70">
        <v>0</v>
      </c>
      <c r="J70" t="s">
        <v>16</v>
      </c>
      <c r="K70" t="str">
        <f t="shared" si="1"/>
        <v>7F807F</v>
      </c>
    </row>
    <row r="71" spans="1:11" hidden="1">
      <c r="A71">
        <v>69</v>
      </c>
      <c r="B71">
        <v>4</v>
      </c>
      <c r="C71">
        <v>3</v>
      </c>
      <c r="D71">
        <v>2</v>
      </c>
      <c r="E71">
        <v>0</v>
      </c>
      <c r="F71" t="s">
        <v>23</v>
      </c>
      <c r="G71">
        <v>0</v>
      </c>
      <c r="H71">
        <v>65280</v>
      </c>
      <c r="I71">
        <v>0</v>
      </c>
      <c r="J71" t="s">
        <v>18</v>
      </c>
      <c r="K71" t="str">
        <f t="shared" si="1"/>
        <v>007F80</v>
      </c>
    </row>
    <row r="72" spans="1:11" hidden="1">
      <c r="A72">
        <v>70</v>
      </c>
      <c r="B72">
        <v>0</v>
      </c>
      <c r="C72">
        <v>4</v>
      </c>
      <c r="D72">
        <v>2</v>
      </c>
      <c r="E72">
        <v>0</v>
      </c>
      <c r="F72" t="s">
        <v>11</v>
      </c>
      <c r="G72">
        <v>0</v>
      </c>
      <c r="H72">
        <v>0</v>
      </c>
      <c r="I72">
        <v>0</v>
      </c>
      <c r="J72" t="s">
        <v>11</v>
      </c>
      <c r="K72" t="str">
        <f t="shared" si="1"/>
        <v>000000</v>
      </c>
    </row>
    <row r="73" spans="1:11" hidden="1">
      <c r="A73">
        <v>71</v>
      </c>
      <c r="B73">
        <v>1</v>
      </c>
      <c r="C73">
        <v>4</v>
      </c>
      <c r="D73">
        <v>2</v>
      </c>
      <c r="E73">
        <v>0</v>
      </c>
      <c r="F73" t="s">
        <v>20</v>
      </c>
      <c r="G73">
        <v>0</v>
      </c>
      <c r="H73">
        <v>255</v>
      </c>
      <c r="I73">
        <v>0</v>
      </c>
      <c r="J73" t="s">
        <v>12</v>
      </c>
      <c r="K73" t="str">
        <f t="shared" si="1"/>
        <v>00007F</v>
      </c>
    </row>
    <row r="74" spans="1:11" hidden="1">
      <c r="A74">
        <v>72</v>
      </c>
      <c r="B74">
        <v>2</v>
      </c>
      <c r="C74">
        <v>4</v>
      </c>
      <c r="D74">
        <v>2</v>
      </c>
      <c r="E74">
        <v>0</v>
      </c>
      <c r="F74" t="s">
        <v>21</v>
      </c>
      <c r="G74">
        <v>0</v>
      </c>
      <c r="H74">
        <v>16711680</v>
      </c>
      <c r="I74">
        <v>0</v>
      </c>
      <c r="J74" t="s">
        <v>14</v>
      </c>
      <c r="K74" t="str">
        <f t="shared" si="1"/>
        <v>7F8000</v>
      </c>
    </row>
    <row r="75" spans="1:11" hidden="1">
      <c r="A75">
        <v>73</v>
      </c>
      <c r="B75">
        <v>3</v>
      </c>
      <c r="C75">
        <v>4</v>
      </c>
      <c r="D75">
        <v>2</v>
      </c>
      <c r="E75">
        <v>0</v>
      </c>
      <c r="F75" t="s">
        <v>22</v>
      </c>
      <c r="G75">
        <v>0</v>
      </c>
      <c r="H75">
        <v>16711935</v>
      </c>
      <c r="I75">
        <v>0</v>
      </c>
      <c r="J75" t="s">
        <v>16</v>
      </c>
      <c r="K75" t="str">
        <f t="shared" si="1"/>
        <v>7F807F</v>
      </c>
    </row>
    <row r="76" spans="1:11" hidden="1">
      <c r="A76">
        <v>74</v>
      </c>
      <c r="B76">
        <v>4</v>
      </c>
      <c r="C76">
        <v>4</v>
      </c>
      <c r="D76">
        <v>2</v>
      </c>
      <c r="E76">
        <v>0</v>
      </c>
      <c r="F76" t="s">
        <v>23</v>
      </c>
      <c r="G76">
        <v>0</v>
      </c>
      <c r="H76">
        <v>65280</v>
      </c>
      <c r="I76">
        <v>0</v>
      </c>
      <c r="J76" t="s">
        <v>18</v>
      </c>
      <c r="K76" t="str">
        <f t="shared" si="1"/>
        <v>007F80</v>
      </c>
    </row>
    <row r="77" spans="1:11" hidden="1">
      <c r="A77">
        <v>75</v>
      </c>
      <c r="B77">
        <v>0</v>
      </c>
      <c r="C77">
        <v>0</v>
      </c>
      <c r="D77">
        <v>0</v>
      </c>
      <c r="E77">
        <v>1</v>
      </c>
      <c r="F77">
        <v>0</v>
      </c>
      <c r="G77" t="s">
        <v>11</v>
      </c>
      <c r="H77">
        <v>0</v>
      </c>
      <c r="I77">
        <v>0</v>
      </c>
      <c r="J77" t="s">
        <v>11</v>
      </c>
      <c r="K77" t="str">
        <f t="shared" si="1"/>
        <v>000000</v>
      </c>
    </row>
    <row r="78" spans="1:11" hidden="1">
      <c r="A78">
        <v>76</v>
      </c>
      <c r="B78">
        <v>1</v>
      </c>
      <c r="C78">
        <v>0</v>
      </c>
      <c r="D78">
        <v>0</v>
      </c>
      <c r="E78">
        <v>1</v>
      </c>
      <c r="F78">
        <v>0</v>
      </c>
      <c r="G78" t="s">
        <v>11</v>
      </c>
      <c r="H78">
        <v>0</v>
      </c>
      <c r="I78">
        <v>0</v>
      </c>
      <c r="J78" t="s">
        <v>11</v>
      </c>
      <c r="K78" t="str">
        <f t="shared" si="1"/>
        <v>000000</v>
      </c>
    </row>
    <row r="79" spans="1:11" hidden="1">
      <c r="A79">
        <v>77</v>
      </c>
      <c r="B79">
        <v>2</v>
      </c>
      <c r="C79">
        <v>0</v>
      </c>
      <c r="D79">
        <v>0</v>
      </c>
      <c r="E79">
        <v>1</v>
      </c>
      <c r="F79">
        <v>0</v>
      </c>
      <c r="G79" t="s">
        <v>11</v>
      </c>
      <c r="H79">
        <v>0</v>
      </c>
      <c r="I79">
        <v>0</v>
      </c>
      <c r="J79" t="s">
        <v>11</v>
      </c>
      <c r="K79" t="str">
        <f t="shared" si="1"/>
        <v>000000</v>
      </c>
    </row>
    <row r="80" spans="1:11" hidden="1">
      <c r="A80">
        <v>78</v>
      </c>
      <c r="B80">
        <v>3</v>
      </c>
      <c r="C80">
        <v>0</v>
      </c>
      <c r="D80">
        <v>0</v>
      </c>
      <c r="E80">
        <v>1</v>
      </c>
      <c r="F80">
        <v>0</v>
      </c>
      <c r="G80" t="s">
        <v>11</v>
      </c>
      <c r="H80">
        <v>0</v>
      </c>
      <c r="I80">
        <v>0</v>
      </c>
      <c r="J80" t="s">
        <v>11</v>
      </c>
      <c r="K80" t="str">
        <f t="shared" si="1"/>
        <v>000000</v>
      </c>
    </row>
    <row r="81" spans="1:11">
      <c r="A81">
        <v>79</v>
      </c>
      <c r="B81">
        <v>4</v>
      </c>
      <c r="C81">
        <v>0</v>
      </c>
      <c r="D81">
        <v>0</v>
      </c>
      <c r="E81">
        <v>1</v>
      </c>
      <c r="F81">
        <v>0</v>
      </c>
      <c r="G81" t="s">
        <v>11</v>
      </c>
      <c r="H81">
        <v>0</v>
      </c>
      <c r="I81">
        <v>0</v>
      </c>
      <c r="J81" t="s">
        <v>11</v>
      </c>
      <c r="K81" t="str">
        <f t="shared" si="1"/>
        <v>000000</v>
      </c>
    </row>
    <row r="82" spans="1:11" hidden="1">
      <c r="A82">
        <v>80</v>
      </c>
      <c r="B82">
        <v>0</v>
      </c>
      <c r="C82">
        <v>1</v>
      </c>
      <c r="D82">
        <v>0</v>
      </c>
      <c r="E82">
        <v>1</v>
      </c>
      <c r="F82">
        <v>0</v>
      </c>
      <c r="G82" t="s">
        <v>12</v>
      </c>
      <c r="H82">
        <v>0</v>
      </c>
      <c r="I82">
        <v>127</v>
      </c>
      <c r="J82" t="s">
        <v>13</v>
      </c>
      <c r="K82" t="str">
        <f t="shared" si="1"/>
        <v>00003F</v>
      </c>
    </row>
    <row r="83" spans="1:11" hidden="1">
      <c r="A83">
        <v>81</v>
      </c>
      <c r="B83">
        <v>1</v>
      </c>
      <c r="C83">
        <v>1</v>
      </c>
      <c r="D83">
        <v>0</v>
      </c>
      <c r="E83">
        <v>1</v>
      </c>
      <c r="F83">
        <v>0</v>
      </c>
      <c r="G83" t="s">
        <v>12</v>
      </c>
      <c r="H83">
        <v>0</v>
      </c>
      <c r="I83">
        <v>127</v>
      </c>
      <c r="J83" t="s">
        <v>13</v>
      </c>
      <c r="K83" t="str">
        <f t="shared" si="1"/>
        <v>00003F</v>
      </c>
    </row>
    <row r="84" spans="1:11" hidden="1">
      <c r="A84">
        <v>82</v>
      </c>
      <c r="B84">
        <v>2</v>
      </c>
      <c r="C84">
        <v>1</v>
      </c>
      <c r="D84">
        <v>0</v>
      </c>
      <c r="E84">
        <v>1</v>
      </c>
      <c r="F84">
        <v>0</v>
      </c>
      <c r="G84" t="s">
        <v>12</v>
      </c>
      <c r="H84">
        <v>0</v>
      </c>
      <c r="I84">
        <v>127</v>
      </c>
      <c r="J84" t="s">
        <v>13</v>
      </c>
      <c r="K84" t="str">
        <f t="shared" si="1"/>
        <v>00003F</v>
      </c>
    </row>
    <row r="85" spans="1:11" hidden="1">
      <c r="A85">
        <v>83</v>
      </c>
      <c r="B85">
        <v>3</v>
      </c>
      <c r="C85">
        <v>1</v>
      </c>
      <c r="D85">
        <v>0</v>
      </c>
      <c r="E85">
        <v>1</v>
      </c>
      <c r="F85">
        <v>0</v>
      </c>
      <c r="G85" t="s">
        <v>12</v>
      </c>
      <c r="H85">
        <v>0</v>
      </c>
      <c r="I85">
        <v>127</v>
      </c>
      <c r="J85" t="s">
        <v>13</v>
      </c>
      <c r="K85" t="str">
        <f t="shared" si="1"/>
        <v>00003F</v>
      </c>
    </row>
    <row r="86" spans="1:11" hidden="1">
      <c r="A86">
        <v>84</v>
      </c>
      <c r="B86">
        <v>4</v>
      </c>
      <c r="C86">
        <v>1</v>
      </c>
      <c r="D86">
        <v>0</v>
      </c>
      <c r="E86">
        <v>1</v>
      </c>
      <c r="F86">
        <v>0</v>
      </c>
      <c r="G86" t="s">
        <v>12</v>
      </c>
      <c r="H86">
        <v>0</v>
      </c>
      <c r="I86">
        <v>127</v>
      </c>
      <c r="J86" t="s">
        <v>13</v>
      </c>
      <c r="K86" t="str">
        <f t="shared" si="1"/>
        <v>00003F</v>
      </c>
    </row>
    <row r="87" spans="1:11" hidden="1">
      <c r="A87">
        <v>85</v>
      </c>
      <c r="B87">
        <v>0</v>
      </c>
      <c r="C87">
        <v>2</v>
      </c>
      <c r="D87">
        <v>0</v>
      </c>
      <c r="E87">
        <v>1</v>
      </c>
      <c r="F87">
        <v>0</v>
      </c>
      <c r="G87" t="s">
        <v>90</v>
      </c>
      <c r="H87">
        <v>0</v>
      </c>
      <c r="I87">
        <v>8323072</v>
      </c>
      <c r="J87" t="s">
        <v>93</v>
      </c>
      <c r="K87" t="str">
        <f t="shared" si="1"/>
        <v>3F8000</v>
      </c>
    </row>
    <row r="88" spans="1:11" hidden="1">
      <c r="A88">
        <v>86</v>
      </c>
      <c r="B88">
        <v>1</v>
      </c>
      <c r="C88">
        <v>2</v>
      </c>
      <c r="D88">
        <v>0</v>
      </c>
      <c r="E88">
        <v>1</v>
      </c>
      <c r="F88">
        <v>0</v>
      </c>
      <c r="G88" t="s">
        <v>90</v>
      </c>
      <c r="H88">
        <v>0</v>
      </c>
      <c r="I88">
        <v>8323072</v>
      </c>
      <c r="J88" t="s">
        <v>93</v>
      </c>
      <c r="K88" t="str">
        <f t="shared" si="1"/>
        <v>3F8000</v>
      </c>
    </row>
    <row r="89" spans="1:11" hidden="1">
      <c r="A89">
        <v>87</v>
      </c>
      <c r="B89">
        <v>2</v>
      </c>
      <c r="C89">
        <v>2</v>
      </c>
      <c r="D89">
        <v>0</v>
      </c>
      <c r="E89">
        <v>1</v>
      </c>
      <c r="F89">
        <v>0</v>
      </c>
      <c r="G89" t="s">
        <v>90</v>
      </c>
      <c r="H89">
        <v>0</v>
      </c>
      <c r="I89">
        <v>8323072</v>
      </c>
      <c r="J89" t="s">
        <v>93</v>
      </c>
      <c r="K89" t="str">
        <f t="shared" si="1"/>
        <v>3F8000</v>
      </c>
    </row>
    <row r="90" spans="1:11" hidden="1">
      <c r="A90">
        <v>88</v>
      </c>
      <c r="B90">
        <v>3</v>
      </c>
      <c r="C90">
        <v>2</v>
      </c>
      <c r="D90">
        <v>0</v>
      </c>
      <c r="E90">
        <v>1</v>
      </c>
      <c r="F90">
        <v>0</v>
      </c>
      <c r="G90" t="s">
        <v>90</v>
      </c>
      <c r="H90">
        <v>0</v>
      </c>
      <c r="I90">
        <v>8323072</v>
      </c>
      <c r="J90" t="s">
        <v>93</v>
      </c>
      <c r="K90" t="str">
        <f t="shared" si="1"/>
        <v>3F8000</v>
      </c>
    </row>
    <row r="91" spans="1:11" hidden="1">
      <c r="A91">
        <v>89</v>
      </c>
      <c r="B91">
        <v>4</v>
      </c>
      <c r="C91">
        <v>2</v>
      </c>
      <c r="D91">
        <v>0</v>
      </c>
      <c r="E91">
        <v>1</v>
      </c>
      <c r="F91">
        <v>0</v>
      </c>
      <c r="G91" t="s">
        <v>90</v>
      </c>
      <c r="H91">
        <v>0</v>
      </c>
      <c r="I91">
        <v>8323072</v>
      </c>
      <c r="J91" t="s">
        <v>93</v>
      </c>
      <c r="K91" t="str">
        <f t="shared" si="1"/>
        <v>3F8000</v>
      </c>
    </row>
    <row r="92" spans="1:11" hidden="1">
      <c r="A92">
        <v>90</v>
      </c>
      <c r="B92">
        <v>0</v>
      </c>
      <c r="C92">
        <v>3</v>
      </c>
      <c r="D92">
        <v>0</v>
      </c>
      <c r="E92">
        <v>1</v>
      </c>
      <c r="F92">
        <v>0</v>
      </c>
      <c r="G92" t="s">
        <v>91</v>
      </c>
      <c r="H92">
        <v>0</v>
      </c>
      <c r="I92">
        <v>8323199</v>
      </c>
      <c r="J92" t="s">
        <v>94</v>
      </c>
      <c r="K92" t="str">
        <f t="shared" si="1"/>
        <v>3F803F</v>
      </c>
    </row>
    <row r="93" spans="1:11" hidden="1">
      <c r="A93">
        <v>91</v>
      </c>
      <c r="B93">
        <v>1</v>
      </c>
      <c r="C93">
        <v>3</v>
      </c>
      <c r="D93">
        <v>0</v>
      </c>
      <c r="E93">
        <v>1</v>
      </c>
      <c r="F93">
        <v>0</v>
      </c>
      <c r="G93" t="s">
        <v>91</v>
      </c>
      <c r="H93">
        <v>0</v>
      </c>
      <c r="I93">
        <v>8323199</v>
      </c>
      <c r="J93" t="s">
        <v>94</v>
      </c>
      <c r="K93" t="str">
        <f t="shared" si="1"/>
        <v>3F803F</v>
      </c>
    </row>
    <row r="94" spans="1:11" hidden="1">
      <c r="A94">
        <v>92</v>
      </c>
      <c r="B94">
        <v>2</v>
      </c>
      <c r="C94">
        <v>3</v>
      </c>
      <c r="D94">
        <v>0</v>
      </c>
      <c r="E94">
        <v>1</v>
      </c>
      <c r="F94">
        <v>0</v>
      </c>
      <c r="G94" t="s">
        <v>91</v>
      </c>
      <c r="H94">
        <v>0</v>
      </c>
      <c r="I94">
        <v>8323199</v>
      </c>
      <c r="J94" t="s">
        <v>94</v>
      </c>
      <c r="K94" t="str">
        <f t="shared" si="1"/>
        <v>3F803F</v>
      </c>
    </row>
    <row r="95" spans="1:11" hidden="1">
      <c r="A95">
        <v>93</v>
      </c>
      <c r="B95">
        <v>3</v>
      </c>
      <c r="C95">
        <v>3</v>
      </c>
      <c r="D95">
        <v>0</v>
      </c>
      <c r="E95">
        <v>1</v>
      </c>
      <c r="F95">
        <v>0</v>
      </c>
      <c r="G95" t="s">
        <v>91</v>
      </c>
      <c r="H95">
        <v>0</v>
      </c>
      <c r="I95">
        <v>8323199</v>
      </c>
      <c r="J95" t="s">
        <v>94</v>
      </c>
      <c r="K95" t="str">
        <f t="shared" si="1"/>
        <v>3F803F</v>
      </c>
    </row>
    <row r="96" spans="1:11" hidden="1">
      <c r="A96">
        <v>94</v>
      </c>
      <c r="B96">
        <v>4</v>
      </c>
      <c r="C96">
        <v>3</v>
      </c>
      <c r="D96">
        <v>0</v>
      </c>
      <c r="E96">
        <v>1</v>
      </c>
      <c r="F96">
        <v>0</v>
      </c>
      <c r="G96" t="s">
        <v>91</v>
      </c>
      <c r="H96">
        <v>0</v>
      </c>
      <c r="I96">
        <v>8323199</v>
      </c>
      <c r="J96" t="s">
        <v>94</v>
      </c>
      <c r="K96" t="str">
        <f t="shared" si="1"/>
        <v>3F803F</v>
      </c>
    </row>
    <row r="97" spans="1:11" hidden="1">
      <c r="A97">
        <v>95</v>
      </c>
      <c r="B97">
        <v>0</v>
      </c>
      <c r="C97">
        <v>4</v>
      </c>
      <c r="D97">
        <v>0</v>
      </c>
      <c r="E97">
        <v>1</v>
      </c>
      <c r="F97">
        <v>0</v>
      </c>
      <c r="G97" t="s">
        <v>92</v>
      </c>
      <c r="H97">
        <v>0</v>
      </c>
      <c r="I97">
        <v>32512</v>
      </c>
      <c r="J97" t="s">
        <v>95</v>
      </c>
      <c r="K97" t="str">
        <f t="shared" si="1"/>
        <v>003F80</v>
      </c>
    </row>
    <row r="98" spans="1:11" hidden="1">
      <c r="A98">
        <v>96</v>
      </c>
      <c r="B98">
        <v>1</v>
      </c>
      <c r="C98">
        <v>4</v>
      </c>
      <c r="D98">
        <v>0</v>
      </c>
      <c r="E98">
        <v>1</v>
      </c>
      <c r="F98">
        <v>0</v>
      </c>
      <c r="G98" t="s">
        <v>92</v>
      </c>
      <c r="H98">
        <v>0</v>
      </c>
      <c r="I98">
        <v>32512</v>
      </c>
      <c r="J98" t="s">
        <v>95</v>
      </c>
      <c r="K98" t="str">
        <f t="shared" si="1"/>
        <v>003F80</v>
      </c>
    </row>
    <row r="99" spans="1:11" hidden="1">
      <c r="A99">
        <v>97</v>
      </c>
      <c r="B99">
        <v>2</v>
      </c>
      <c r="C99">
        <v>4</v>
      </c>
      <c r="D99">
        <v>0</v>
      </c>
      <c r="E99">
        <v>1</v>
      </c>
      <c r="F99">
        <v>0</v>
      </c>
      <c r="G99" t="s">
        <v>92</v>
      </c>
      <c r="H99">
        <v>0</v>
      </c>
      <c r="I99">
        <v>32512</v>
      </c>
      <c r="J99" t="s">
        <v>95</v>
      </c>
      <c r="K99" t="str">
        <f t="shared" si="1"/>
        <v>003F80</v>
      </c>
    </row>
    <row r="100" spans="1:11" hidden="1">
      <c r="A100">
        <v>98</v>
      </c>
      <c r="B100">
        <v>3</v>
      </c>
      <c r="C100">
        <v>4</v>
      </c>
      <c r="D100">
        <v>0</v>
      </c>
      <c r="E100">
        <v>1</v>
      </c>
      <c r="F100">
        <v>0</v>
      </c>
      <c r="G100" t="s">
        <v>92</v>
      </c>
      <c r="H100">
        <v>0</v>
      </c>
      <c r="I100">
        <v>32512</v>
      </c>
      <c r="J100" t="s">
        <v>95</v>
      </c>
      <c r="K100" t="str">
        <f t="shared" si="1"/>
        <v>003F80</v>
      </c>
    </row>
    <row r="101" spans="1:11" hidden="1">
      <c r="A101">
        <v>99</v>
      </c>
      <c r="B101">
        <v>4</v>
      </c>
      <c r="C101">
        <v>4</v>
      </c>
      <c r="D101">
        <v>0</v>
      </c>
      <c r="E101">
        <v>1</v>
      </c>
      <c r="F101">
        <v>0</v>
      </c>
      <c r="G101" t="s">
        <v>92</v>
      </c>
      <c r="H101">
        <v>0</v>
      </c>
      <c r="I101">
        <v>32512</v>
      </c>
      <c r="J101" t="s">
        <v>95</v>
      </c>
      <c r="K101" t="str">
        <f t="shared" si="1"/>
        <v>003F80</v>
      </c>
    </row>
    <row r="102" spans="1:11" hidden="1">
      <c r="A102">
        <v>100</v>
      </c>
      <c r="B102">
        <v>0</v>
      </c>
      <c r="C102">
        <v>0</v>
      </c>
      <c r="D102">
        <v>1</v>
      </c>
      <c r="E102">
        <v>1</v>
      </c>
      <c r="F102" t="s">
        <v>11</v>
      </c>
      <c r="G102" t="s">
        <v>11</v>
      </c>
      <c r="H102">
        <v>0</v>
      </c>
      <c r="I102">
        <v>0</v>
      </c>
      <c r="J102" t="s">
        <v>11</v>
      </c>
      <c r="K102" t="str">
        <f t="shared" si="1"/>
        <v>000000</v>
      </c>
    </row>
    <row r="103" spans="1:11" hidden="1">
      <c r="A103">
        <v>101</v>
      </c>
      <c r="B103">
        <v>1</v>
      </c>
      <c r="C103">
        <v>0</v>
      </c>
      <c r="D103">
        <v>1</v>
      </c>
      <c r="E103">
        <v>1</v>
      </c>
      <c r="F103" t="s">
        <v>12</v>
      </c>
      <c r="G103" t="s">
        <v>11</v>
      </c>
      <c r="H103">
        <v>127</v>
      </c>
      <c r="I103">
        <v>0</v>
      </c>
      <c r="J103" t="s">
        <v>13</v>
      </c>
      <c r="K103" t="str">
        <f t="shared" si="1"/>
        <v>00003F</v>
      </c>
    </row>
    <row r="104" spans="1:11" hidden="1">
      <c r="A104">
        <v>102</v>
      </c>
      <c r="B104">
        <v>2</v>
      </c>
      <c r="C104">
        <v>0</v>
      </c>
      <c r="D104">
        <v>1</v>
      </c>
      <c r="E104">
        <v>1</v>
      </c>
      <c r="F104" t="s">
        <v>90</v>
      </c>
      <c r="G104" t="s">
        <v>11</v>
      </c>
      <c r="H104">
        <v>8323072</v>
      </c>
      <c r="I104">
        <v>0</v>
      </c>
      <c r="J104" t="s">
        <v>93</v>
      </c>
      <c r="K104" t="str">
        <f t="shared" si="1"/>
        <v>3F8000</v>
      </c>
    </row>
    <row r="105" spans="1:11" hidden="1">
      <c r="A105">
        <v>103</v>
      </c>
      <c r="B105">
        <v>3</v>
      </c>
      <c r="C105">
        <v>0</v>
      </c>
      <c r="D105">
        <v>1</v>
      </c>
      <c r="E105">
        <v>1</v>
      </c>
      <c r="F105" t="s">
        <v>91</v>
      </c>
      <c r="G105" t="s">
        <v>11</v>
      </c>
      <c r="H105">
        <v>8323199</v>
      </c>
      <c r="I105">
        <v>0</v>
      </c>
      <c r="J105" t="s">
        <v>94</v>
      </c>
      <c r="K105" t="str">
        <f t="shared" si="1"/>
        <v>3F803F</v>
      </c>
    </row>
    <row r="106" spans="1:11">
      <c r="A106">
        <v>104</v>
      </c>
      <c r="B106">
        <v>4</v>
      </c>
      <c r="C106">
        <v>0</v>
      </c>
      <c r="D106">
        <v>1</v>
      </c>
      <c r="E106">
        <v>1</v>
      </c>
      <c r="F106" t="s">
        <v>92</v>
      </c>
      <c r="G106" t="s">
        <v>11</v>
      </c>
      <c r="H106">
        <v>32512</v>
      </c>
      <c r="I106">
        <v>0</v>
      </c>
      <c r="J106" t="s">
        <v>95</v>
      </c>
      <c r="K106" t="str">
        <f t="shared" si="1"/>
        <v>003F80</v>
      </c>
    </row>
    <row r="107" spans="1:11" hidden="1">
      <c r="A107">
        <v>105</v>
      </c>
      <c r="B107">
        <v>0</v>
      </c>
      <c r="C107">
        <v>1</v>
      </c>
      <c r="D107">
        <v>1</v>
      </c>
      <c r="E107">
        <v>1</v>
      </c>
      <c r="F107" t="s">
        <v>11</v>
      </c>
      <c r="G107" t="s">
        <v>12</v>
      </c>
      <c r="H107">
        <v>0</v>
      </c>
      <c r="I107">
        <v>127</v>
      </c>
      <c r="J107" t="s">
        <v>13</v>
      </c>
      <c r="K107" t="str">
        <f t="shared" si="1"/>
        <v>00003F</v>
      </c>
    </row>
    <row r="108" spans="1:11" hidden="1">
      <c r="A108">
        <v>106</v>
      </c>
      <c r="B108">
        <v>1</v>
      </c>
      <c r="C108">
        <v>1</v>
      </c>
      <c r="D108">
        <v>1</v>
      </c>
      <c r="E108">
        <v>1</v>
      </c>
      <c r="F108" t="s">
        <v>12</v>
      </c>
      <c r="G108" t="s">
        <v>12</v>
      </c>
      <c r="H108">
        <v>127</v>
      </c>
      <c r="I108">
        <v>127</v>
      </c>
      <c r="J108" t="s">
        <v>12</v>
      </c>
      <c r="K108" t="str">
        <f t="shared" si="1"/>
        <v>00007F</v>
      </c>
    </row>
    <row r="109" spans="1:11" hidden="1">
      <c r="A109">
        <v>107</v>
      </c>
      <c r="B109">
        <v>2</v>
      </c>
      <c r="C109">
        <v>1</v>
      </c>
      <c r="D109">
        <v>1</v>
      </c>
      <c r="E109">
        <v>1</v>
      </c>
      <c r="F109" t="s">
        <v>90</v>
      </c>
      <c r="G109" t="s">
        <v>12</v>
      </c>
      <c r="H109">
        <v>8323072</v>
      </c>
      <c r="I109">
        <v>127</v>
      </c>
      <c r="J109" t="s">
        <v>94</v>
      </c>
      <c r="K109" t="str">
        <f t="shared" si="1"/>
        <v>3F803F</v>
      </c>
    </row>
    <row r="110" spans="1:11" hidden="1">
      <c r="A110">
        <v>108</v>
      </c>
      <c r="B110">
        <v>3</v>
      </c>
      <c r="C110">
        <v>1</v>
      </c>
      <c r="D110">
        <v>1</v>
      </c>
      <c r="E110">
        <v>1</v>
      </c>
      <c r="F110" t="s">
        <v>91</v>
      </c>
      <c r="G110" t="s">
        <v>12</v>
      </c>
      <c r="H110">
        <v>8323199</v>
      </c>
      <c r="I110">
        <v>127</v>
      </c>
      <c r="J110" t="s">
        <v>96</v>
      </c>
      <c r="K110" t="str">
        <f t="shared" si="1"/>
        <v>3F807F</v>
      </c>
    </row>
    <row r="111" spans="1:11" hidden="1">
      <c r="A111">
        <v>109</v>
      </c>
      <c r="B111">
        <v>4</v>
      </c>
      <c r="C111">
        <v>1</v>
      </c>
      <c r="D111">
        <v>1</v>
      </c>
      <c r="E111">
        <v>1</v>
      </c>
      <c r="F111" t="s">
        <v>92</v>
      </c>
      <c r="G111" t="s">
        <v>12</v>
      </c>
      <c r="H111">
        <v>32512</v>
      </c>
      <c r="I111">
        <v>127</v>
      </c>
      <c r="J111" t="s">
        <v>97</v>
      </c>
      <c r="K111" t="str">
        <f t="shared" si="1"/>
        <v>003FBF</v>
      </c>
    </row>
    <row r="112" spans="1:11" hidden="1">
      <c r="A112">
        <v>110</v>
      </c>
      <c r="B112">
        <v>0</v>
      </c>
      <c r="C112">
        <v>2</v>
      </c>
      <c r="D112">
        <v>1</v>
      </c>
      <c r="E112">
        <v>1</v>
      </c>
      <c r="F112" t="s">
        <v>11</v>
      </c>
      <c r="G112" t="s">
        <v>90</v>
      </c>
      <c r="H112">
        <v>0</v>
      </c>
      <c r="I112">
        <v>8323072</v>
      </c>
      <c r="J112" t="s">
        <v>93</v>
      </c>
      <c r="K112" t="str">
        <f t="shared" si="1"/>
        <v>3F8000</v>
      </c>
    </row>
    <row r="113" spans="1:11" hidden="1">
      <c r="A113">
        <v>111</v>
      </c>
      <c r="B113">
        <v>1</v>
      </c>
      <c r="C113">
        <v>2</v>
      </c>
      <c r="D113">
        <v>1</v>
      </c>
      <c r="E113">
        <v>1</v>
      </c>
      <c r="F113" t="s">
        <v>12</v>
      </c>
      <c r="G113" t="s">
        <v>90</v>
      </c>
      <c r="H113">
        <v>127</v>
      </c>
      <c r="I113">
        <v>8323072</v>
      </c>
      <c r="J113" t="s">
        <v>94</v>
      </c>
      <c r="K113" t="str">
        <f t="shared" si="1"/>
        <v>3F803F</v>
      </c>
    </row>
    <row r="114" spans="1:11" hidden="1">
      <c r="A114">
        <v>112</v>
      </c>
      <c r="B114">
        <v>2</v>
      </c>
      <c r="C114">
        <v>2</v>
      </c>
      <c r="D114">
        <v>1</v>
      </c>
      <c r="E114">
        <v>1</v>
      </c>
      <c r="F114" t="s">
        <v>90</v>
      </c>
      <c r="G114" t="s">
        <v>90</v>
      </c>
      <c r="H114">
        <v>8323072</v>
      </c>
      <c r="I114">
        <v>8323072</v>
      </c>
      <c r="J114" t="s">
        <v>98</v>
      </c>
      <c r="K114" t="str">
        <f t="shared" si="1"/>
        <v>7F0000</v>
      </c>
    </row>
    <row r="115" spans="1:11" hidden="1">
      <c r="A115">
        <v>113</v>
      </c>
      <c r="B115">
        <v>3</v>
      </c>
      <c r="C115">
        <v>2</v>
      </c>
      <c r="D115">
        <v>1</v>
      </c>
      <c r="E115">
        <v>1</v>
      </c>
      <c r="F115" t="s">
        <v>91</v>
      </c>
      <c r="G115" t="s">
        <v>90</v>
      </c>
      <c r="H115">
        <v>8323199</v>
      </c>
      <c r="I115">
        <v>8323072</v>
      </c>
      <c r="J115" t="s">
        <v>99</v>
      </c>
      <c r="K115" t="str">
        <f t="shared" si="1"/>
        <v>7F003F</v>
      </c>
    </row>
    <row r="116" spans="1:11" hidden="1">
      <c r="A116">
        <v>114</v>
      </c>
      <c r="B116">
        <v>4</v>
      </c>
      <c r="C116">
        <v>2</v>
      </c>
      <c r="D116">
        <v>1</v>
      </c>
      <c r="E116">
        <v>1</v>
      </c>
      <c r="F116" t="s">
        <v>92</v>
      </c>
      <c r="G116" t="s">
        <v>90</v>
      </c>
      <c r="H116">
        <v>32512</v>
      </c>
      <c r="I116">
        <v>8323072</v>
      </c>
      <c r="J116" t="s">
        <v>100</v>
      </c>
      <c r="K116" t="str">
        <f t="shared" si="1"/>
        <v>3FBF80</v>
      </c>
    </row>
    <row r="117" spans="1:11" hidden="1">
      <c r="A117">
        <v>115</v>
      </c>
      <c r="B117">
        <v>0</v>
      </c>
      <c r="C117">
        <v>3</v>
      </c>
      <c r="D117">
        <v>1</v>
      </c>
      <c r="E117">
        <v>1</v>
      </c>
      <c r="F117" t="s">
        <v>11</v>
      </c>
      <c r="G117" t="s">
        <v>91</v>
      </c>
      <c r="H117">
        <v>0</v>
      </c>
      <c r="I117">
        <v>8323199</v>
      </c>
      <c r="J117" t="s">
        <v>94</v>
      </c>
      <c r="K117" t="str">
        <f t="shared" si="1"/>
        <v>3F803F</v>
      </c>
    </row>
    <row r="118" spans="1:11" hidden="1">
      <c r="A118">
        <v>116</v>
      </c>
      <c r="B118">
        <v>1</v>
      </c>
      <c r="C118">
        <v>3</v>
      </c>
      <c r="D118">
        <v>1</v>
      </c>
      <c r="E118">
        <v>1</v>
      </c>
      <c r="F118" t="s">
        <v>12</v>
      </c>
      <c r="G118" t="s">
        <v>91</v>
      </c>
      <c r="H118">
        <v>127</v>
      </c>
      <c r="I118">
        <v>8323199</v>
      </c>
      <c r="J118" t="s">
        <v>96</v>
      </c>
      <c r="K118" t="str">
        <f t="shared" si="1"/>
        <v>3F807F</v>
      </c>
    </row>
    <row r="119" spans="1:11" hidden="1">
      <c r="A119">
        <v>117</v>
      </c>
      <c r="B119">
        <v>2</v>
      </c>
      <c r="C119">
        <v>3</v>
      </c>
      <c r="D119">
        <v>1</v>
      </c>
      <c r="E119">
        <v>1</v>
      </c>
      <c r="F119" t="s">
        <v>90</v>
      </c>
      <c r="G119" t="s">
        <v>91</v>
      </c>
      <c r="H119">
        <v>8323072</v>
      </c>
      <c r="I119">
        <v>8323199</v>
      </c>
      <c r="J119" t="s">
        <v>99</v>
      </c>
      <c r="K119" t="str">
        <f t="shared" si="1"/>
        <v>7F003F</v>
      </c>
    </row>
    <row r="120" spans="1:11" hidden="1">
      <c r="A120">
        <v>118</v>
      </c>
      <c r="B120">
        <v>3</v>
      </c>
      <c r="C120">
        <v>3</v>
      </c>
      <c r="D120">
        <v>1</v>
      </c>
      <c r="E120">
        <v>1</v>
      </c>
      <c r="F120" t="s">
        <v>91</v>
      </c>
      <c r="G120" t="s">
        <v>91</v>
      </c>
      <c r="H120">
        <v>8323199</v>
      </c>
      <c r="I120">
        <v>8323199</v>
      </c>
      <c r="J120" t="s">
        <v>101</v>
      </c>
      <c r="K120" t="str">
        <f t="shared" si="1"/>
        <v>7F007F</v>
      </c>
    </row>
    <row r="121" spans="1:11" hidden="1">
      <c r="A121">
        <v>119</v>
      </c>
      <c r="B121">
        <v>4</v>
      </c>
      <c r="C121">
        <v>3</v>
      </c>
      <c r="D121">
        <v>1</v>
      </c>
      <c r="E121">
        <v>1</v>
      </c>
      <c r="F121" t="s">
        <v>92</v>
      </c>
      <c r="G121" t="s">
        <v>91</v>
      </c>
      <c r="H121">
        <v>32512</v>
      </c>
      <c r="I121">
        <v>8323199</v>
      </c>
      <c r="J121" t="s">
        <v>102</v>
      </c>
      <c r="K121" t="str">
        <f t="shared" si="1"/>
        <v>3FBFBF</v>
      </c>
    </row>
    <row r="122" spans="1:11" hidden="1">
      <c r="A122">
        <v>120</v>
      </c>
      <c r="B122">
        <v>0</v>
      </c>
      <c r="C122">
        <v>4</v>
      </c>
      <c r="D122">
        <v>1</v>
      </c>
      <c r="E122">
        <v>1</v>
      </c>
      <c r="F122" t="s">
        <v>11</v>
      </c>
      <c r="G122" t="s">
        <v>92</v>
      </c>
      <c r="H122">
        <v>0</v>
      </c>
      <c r="I122">
        <v>32512</v>
      </c>
      <c r="J122" t="s">
        <v>95</v>
      </c>
      <c r="K122" t="str">
        <f t="shared" si="1"/>
        <v>003F80</v>
      </c>
    </row>
    <row r="123" spans="1:11" hidden="1">
      <c r="A123">
        <v>121</v>
      </c>
      <c r="B123">
        <v>1</v>
      </c>
      <c r="C123">
        <v>4</v>
      </c>
      <c r="D123">
        <v>1</v>
      </c>
      <c r="E123">
        <v>1</v>
      </c>
      <c r="F123" t="s">
        <v>12</v>
      </c>
      <c r="G123" t="s">
        <v>92</v>
      </c>
      <c r="H123">
        <v>127</v>
      </c>
      <c r="I123">
        <v>32512</v>
      </c>
      <c r="J123" t="s">
        <v>97</v>
      </c>
      <c r="K123" t="str">
        <f t="shared" si="1"/>
        <v>003FBF</v>
      </c>
    </row>
    <row r="124" spans="1:11" hidden="1">
      <c r="A124">
        <v>122</v>
      </c>
      <c r="B124">
        <v>2</v>
      </c>
      <c r="C124">
        <v>4</v>
      </c>
      <c r="D124">
        <v>1</v>
      </c>
      <c r="E124">
        <v>1</v>
      </c>
      <c r="F124" t="s">
        <v>90</v>
      </c>
      <c r="G124" t="s">
        <v>92</v>
      </c>
      <c r="H124">
        <v>8323072</v>
      </c>
      <c r="I124">
        <v>32512</v>
      </c>
      <c r="J124" t="s">
        <v>100</v>
      </c>
      <c r="K124" t="str">
        <f t="shared" si="1"/>
        <v>3FBF80</v>
      </c>
    </row>
    <row r="125" spans="1:11" hidden="1">
      <c r="A125">
        <v>123</v>
      </c>
      <c r="B125">
        <v>3</v>
      </c>
      <c r="C125">
        <v>4</v>
      </c>
      <c r="D125">
        <v>1</v>
      </c>
      <c r="E125">
        <v>1</v>
      </c>
      <c r="F125" t="s">
        <v>91</v>
      </c>
      <c r="G125" t="s">
        <v>92</v>
      </c>
      <c r="H125">
        <v>8323199</v>
      </c>
      <c r="I125">
        <v>32512</v>
      </c>
      <c r="J125" t="s">
        <v>102</v>
      </c>
      <c r="K125" t="str">
        <f t="shared" si="1"/>
        <v>3FBFBF</v>
      </c>
    </row>
    <row r="126" spans="1:11" hidden="1">
      <c r="A126">
        <v>124</v>
      </c>
      <c r="B126">
        <v>4</v>
      </c>
      <c r="C126">
        <v>4</v>
      </c>
      <c r="D126">
        <v>1</v>
      </c>
      <c r="E126">
        <v>1</v>
      </c>
      <c r="F126" t="s">
        <v>92</v>
      </c>
      <c r="G126" t="s">
        <v>92</v>
      </c>
      <c r="H126">
        <v>32512</v>
      </c>
      <c r="I126">
        <v>32512</v>
      </c>
      <c r="J126" t="s">
        <v>103</v>
      </c>
      <c r="K126" t="str">
        <f t="shared" si="1"/>
        <v>007F00</v>
      </c>
    </row>
    <row r="127" spans="1:11" hidden="1">
      <c r="A127">
        <v>125</v>
      </c>
      <c r="B127">
        <v>0</v>
      </c>
      <c r="C127">
        <v>0</v>
      </c>
      <c r="D127">
        <v>2</v>
      </c>
      <c r="E127">
        <v>1</v>
      </c>
      <c r="F127" t="s">
        <v>11</v>
      </c>
      <c r="G127" t="s">
        <v>11</v>
      </c>
      <c r="H127">
        <v>0</v>
      </c>
      <c r="I127">
        <v>0</v>
      </c>
      <c r="J127" t="s">
        <v>11</v>
      </c>
      <c r="K127" t="str">
        <f t="shared" si="1"/>
        <v>000000</v>
      </c>
    </row>
    <row r="128" spans="1:11" hidden="1">
      <c r="A128">
        <v>126</v>
      </c>
      <c r="B128">
        <v>1</v>
      </c>
      <c r="C128">
        <v>0</v>
      </c>
      <c r="D128">
        <v>2</v>
      </c>
      <c r="E128">
        <v>1</v>
      </c>
      <c r="F128" t="s">
        <v>20</v>
      </c>
      <c r="G128" t="s">
        <v>11</v>
      </c>
      <c r="H128">
        <v>255</v>
      </c>
      <c r="I128">
        <v>0</v>
      </c>
      <c r="J128" t="s">
        <v>12</v>
      </c>
      <c r="K128" t="str">
        <f t="shared" si="1"/>
        <v>00007F</v>
      </c>
    </row>
    <row r="129" spans="1:11" hidden="1">
      <c r="A129">
        <v>127</v>
      </c>
      <c r="B129">
        <v>2</v>
      </c>
      <c r="C129">
        <v>0</v>
      </c>
      <c r="D129">
        <v>2</v>
      </c>
      <c r="E129">
        <v>1</v>
      </c>
      <c r="F129" t="s">
        <v>21</v>
      </c>
      <c r="G129" t="s">
        <v>11</v>
      </c>
      <c r="H129">
        <v>16711680</v>
      </c>
      <c r="I129">
        <v>0</v>
      </c>
      <c r="J129" t="s">
        <v>14</v>
      </c>
      <c r="K129" t="str">
        <f t="shared" si="1"/>
        <v>7F8000</v>
      </c>
    </row>
    <row r="130" spans="1:11" hidden="1">
      <c r="A130">
        <v>128</v>
      </c>
      <c r="B130">
        <v>3</v>
      </c>
      <c r="C130">
        <v>0</v>
      </c>
      <c r="D130">
        <v>2</v>
      </c>
      <c r="E130">
        <v>1</v>
      </c>
      <c r="F130" t="s">
        <v>22</v>
      </c>
      <c r="G130" t="s">
        <v>11</v>
      </c>
      <c r="H130">
        <v>16711935</v>
      </c>
      <c r="I130">
        <v>0</v>
      </c>
      <c r="J130" t="s">
        <v>16</v>
      </c>
      <c r="K130" t="str">
        <f t="shared" si="1"/>
        <v>7F807F</v>
      </c>
    </row>
    <row r="131" spans="1:11">
      <c r="A131">
        <v>129</v>
      </c>
      <c r="B131">
        <v>4</v>
      </c>
      <c r="C131">
        <v>0</v>
      </c>
      <c r="D131">
        <v>2</v>
      </c>
      <c r="E131">
        <v>1</v>
      </c>
      <c r="F131" t="s">
        <v>23</v>
      </c>
      <c r="G131" t="s">
        <v>11</v>
      </c>
      <c r="H131">
        <v>65280</v>
      </c>
      <c r="I131">
        <v>0</v>
      </c>
      <c r="J131" t="s">
        <v>18</v>
      </c>
      <c r="K131" t="str">
        <f t="shared" ref="K131:K194" si="2">RIGHT("00000"&amp;J131,6)</f>
        <v>007F80</v>
      </c>
    </row>
    <row r="132" spans="1:11" hidden="1">
      <c r="A132">
        <v>130</v>
      </c>
      <c r="B132">
        <v>0</v>
      </c>
      <c r="C132">
        <v>1</v>
      </c>
      <c r="D132">
        <v>2</v>
      </c>
      <c r="E132">
        <v>1</v>
      </c>
      <c r="F132" t="s">
        <v>11</v>
      </c>
      <c r="G132" t="s">
        <v>12</v>
      </c>
      <c r="H132">
        <v>0</v>
      </c>
      <c r="I132">
        <v>127</v>
      </c>
      <c r="J132" t="s">
        <v>13</v>
      </c>
      <c r="K132" t="str">
        <f t="shared" si="2"/>
        <v>00003F</v>
      </c>
    </row>
    <row r="133" spans="1:11" hidden="1">
      <c r="A133">
        <v>131</v>
      </c>
      <c r="B133">
        <v>1</v>
      </c>
      <c r="C133">
        <v>1</v>
      </c>
      <c r="D133">
        <v>2</v>
      </c>
      <c r="E133">
        <v>1</v>
      </c>
      <c r="F133" t="s">
        <v>20</v>
      </c>
      <c r="G133" t="s">
        <v>12</v>
      </c>
      <c r="H133">
        <v>255</v>
      </c>
      <c r="I133">
        <v>127</v>
      </c>
      <c r="J133" t="s">
        <v>29</v>
      </c>
      <c r="K133" t="str">
        <f t="shared" si="2"/>
        <v>0000BF</v>
      </c>
    </row>
    <row r="134" spans="1:11" hidden="1">
      <c r="A134">
        <v>132</v>
      </c>
      <c r="B134">
        <v>2</v>
      </c>
      <c r="C134">
        <v>1</v>
      </c>
      <c r="D134">
        <v>2</v>
      </c>
      <c r="E134">
        <v>1</v>
      </c>
      <c r="F134" t="s">
        <v>21</v>
      </c>
      <c r="G134" t="s">
        <v>12</v>
      </c>
      <c r="H134">
        <v>16711680</v>
      </c>
      <c r="I134">
        <v>127</v>
      </c>
      <c r="J134" t="s">
        <v>26</v>
      </c>
      <c r="K134" t="str">
        <f t="shared" si="2"/>
        <v>7F803F</v>
      </c>
    </row>
    <row r="135" spans="1:11" hidden="1">
      <c r="A135">
        <v>133</v>
      </c>
      <c r="B135">
        <v>3</v>
      </c>
      <c r="C135">
        <v>1</v>
      </c>
      <c r="D135">
        <v>2</v>
      </c>
      <c r="E135">
        <v>1</v>
      </c>
      <c r="F135" t="s">
        <v>22</v>
      </c>
      <c r="G135" t="s">
        <v>12</v>
      </c>
      <c r="H135">
        <v>16711935</v>
      </c>
      <c r="I135">
        <v>127</v>
      </c>
      <c r="J135" t="s">
        <v>30</v>
      </c>
      <c r="K135" t="str">
        <f t="shared" si="2"/>
        <v>7F80BF</v>
      </c>
    </row>
    <row r="136" spans="1:11" hidden="1">
      <c r="A136">
        <v>134</v>
      </c>
      <c r="B136">
        <v>4</v>
      </c>
      <c r="C136">
        <v>1</v>
      </c>
      <c r="D136">
        <v>2</v>
      </c>
      <c r="E136">
        <v>1</v>
      </c>
      <c r="F136" t="s">
        <v>23</v>
      </c>
      <c r="G136" t="s">
        <v>12</v>
      </c>
      <c r="H136">
        <v>65280</v>
      </c>
      <c r="I136">
        <v>127</v>
      </c>
      <c r="J136" t="s">
        <v>31</v>
      </c>
      <c r="K136" t="str">
        <f t="shared" si="2"/>
        <v>007FBF</v>
      </c>
    </row>
    <row r="137" spans="1:11" hidden="1">
      <c r="A137">
        <v>135</v>
      </c>
      <c r="B137">
        <v>0</v>
      </c>
      <c r="C137">
        <v>2</v>
      </c>
      <c r="D137">
        <v>2</v>
      </c>
      <c r="E137">
        <v>1</v>
      </c>
      <c r="F137" t="s">
        <v>11</v>
      </c>
      <c r="G137" t="s">
        <v>90</v>
      </c>
      <c r="H137">
        <v>0</v>
      </c>
      <c r="I137">
        <v>8323072</v>
      </c>
      <c r="J137" t="s">
        <v>93</v>
      </c>
      <c r="K137" t="str">
        <f t="shared" si="2"/>
        <v>3F8000</v>
      </c>
    </row>
    <row r="138" spans="1:11" hidden="1">
      <c r="A138">
        <v>136</v>
      </c>
      <c r="B138">
        <v>1</v>
      </c>
      <c r="C138">
        <v>2</v>
      </c>
      <c r="D138">
        <v>2</v>
      </c>
      <c r="E138">
        <v>1</v>
      </c>
      <c r="F138" t="s">
        <v>20</v>
      </c>
      <c r="G138" t="s">
        <v>90</v>
      </c>
      <c r="H138">
        <v>255</v>
      </c>
      <c r="I138">
        <v>8323072</v>
      </c>
      <c r="J138" t="s">
        <v>96</v>
      </c>
      <c r="K138" t="str">
        <f t="shared" si="2"/>
        <v>3F807F</v>
      </c>
    </row>
    <row r="139" spans="1:11" hidden="1">
      <c r="A139">
        <v>137</v>
      </c>
      <c r="B139">
        <v>2</v>
      </c>
      <c r="C139">
        <v>2</v>
      </c>
      <c r="D139">
        <v>2</v>
      </c>
      <c r="E139">
        <v>1</v>
      </c>
      <c r="F139" t="s">
        <v>21</v>
      </c>
      <c r="G139" t="s">
        <v>90</v>
      </c>
      <c r="H139">
        <v>16711680</v>
      </c>
      <c r="I139">
        <v>8323072</v>
      </c>
      <c r="J139" t="s">
        <v>104</v>
      </c>
      <c r="K139" t="str">
        <f t="shared" si="2"/>
        <v>BF0000</v>
      </c>
    </row>
    <row r="140" spans="1:11" hidden="1">
      <c r="A140">
        <v>138</v>
      </c>
      <c r="B140">
        <v>3</v>
      </c>
      <c r="C140">
        <v>2</v>
      </c>
      <c r="D140">
        <v>2</v>
      </c>
      <c r="E140">
        <v>1</v>
      </c>
      <c r="F140" t="s">
        <v>22</v>
      </c>
      <c r="G140" t="s">
        <v>90</v>
      </c>
      <c r="H140">
        <v>16711935</v>
      </c>
      <c r="I140">
        <v>8323072</v>
      </c>
      <c r="J140" t="s">
        <v>105</v>
      </c>
      <c r="K140" t="str">
        <f t="shared" si="2"/>
        <v>BF007F</v>
      </c>
    </row>
    <row r="141" spans="1:11" hidden="1">
      <c r="A141">
        <v>139</v>
      </c>
      <c r="B141">
        <v>4</v>
      </c>
      <c r="C141">
        <v>2</v>
      </c>
      <c r="D141">
        <v>2</v>
      </c>
      <c r="E141">
        <v>1</v>
      </c>
      <c r="F141" t="s">
        <v>23</v>
      </c>
      <c r="G141" t="s">
        <v>90</v>
      </c>
      <c r="H141">
        <v>65280</v>
      </c>
      <c r="I141">
        <v>8323072</v>
      </c>
      <c r="J141" t="s">
        <v>106</v>
      </c>
      <c r="K141" t="str">
        <f t="shared" si="2"/>
        <v>3FFF80</v>
      </c>
    </row>
    <row r="142" spans="1:11" hidden="1">
      <c r="A142">
        <v>140</v>
      </c>
      <c r="B142">
        <v>0</v>
      </c>
      <c r="C142">
        <v>3</v>
      </c>
      <c r="D142">
        <v>2</v>
      </c>
      <c r="E142">
        <v>1</v>
      </c>
      <c r="F142" t="s">
        <v>11</v>
      </c>
      <c r="G142" t="s">
        <v>91</v>
      </c>
      <c r="H142">
        <v>0</v>
      </c>
      <c r="I142">
        <v>8323199</v>
      </c>
      <c r="J142" t="s">
        <v>94</v>
      </c>
      <c r="K142" t="str">
        <f t="shared" si="2"/>
        <v>3F803F</v>
      </c>
    </row>
    <row r="143" spans="1:11" hidden="1">
      <c r="A143">
        <v>141</v>
      </c>
      <c r="B143">
        <v>1</v>
      </c>
      <c r="C143">
        <v>3</v>
      </c>
      <c r="D143">
        <v>2</v>
      </c>
      <c r="E143">
        <v>1</v>
      </c>
      <c r="F143" t="s">
        <v>20</v>
      </c>
      <c r="G143" t="s">
        <v>91</v>
      </c>
      <c r="H143">
        <v>255</v>
      </c>
      <c r="I143">
        <v>8323199</v>
      </c>
      <c r="J143" t="s">
        <v>107</v>
      </c>
      <c r="K143" t="str">
        <f t="shared" si="2"/>
        <v>3F80BF</v>
      </c>
    </row>
    <row r="144" spans="1:11" hidden="1">
      <c r="A144">
        <v>142</v>
      </c>
      <c r="B144">
        <v>2</v>
      </c>
      <c r="C144">
        <v>3</v>
      </c>
      <c r="D144">
        <v>2</v>
      </c>
      <c r="E144">
        <v>1</v>
      </c>
      <c r="F144" t="s">
        <v>21</v>
      </c>
      <c r="G144" t="s">
        <v>91</v>
      </c>
      <c r="H144">
        <v>16711680</v>
      </c>
      <c r="I144">
        <v>8323199</v>
      </c>
      <c r="J144" t="s">
        <v>108</v>
      </c>
      <c r="K144" t="str">
        <f t="shared" si="2"/>
        <v>BF003F</v>
      </c>
    </row>
    <row r="145" spans="1:11" hidden="1">
      <c r="A145">
        <v>143</v>
      </c>
      <c r="B145">
        <v>3</v>
      </c>
      <c r="C145">
        <v>3</v>
      </c>
      <c r="D145">
        <v>2</v>
      </c>
      <c r="E145">
        <v>1</v>
      </c>
      <c r="F145" t="s">
        <v>22</v>
      </c>
      <c r="G145" t="s">
        <v>91</v>
      </c>
      <c r="H145">
        <v>16711935</v>
      </c>
      <c r="I145">
        <v>8323199</v>
      </c>
      <c r="J145" t="s">
        <v>109</v>
      </c>
      <c r="K145" t="str">
        <f t="shared" si="2"/>
        <v>BF00BF</v>
      </c>
    </row>
    <row r="146" spans="1:11" hidden="1">
      <c r="A146">
        <v>144</v>
      </c>
      <c r="B146">
        <v>4</v>
      </c>
      <c r="C146">
        <v>3</v>
      </c>
      <c r="D146">
        <v>2</v>
      </c>
      <c r="E146">
        <v>1</v>
      </c>
      <c r="F146" t="s">
        <v>23</v>
      </c>
      <c r="G146" t="s">
        <v>91</v>
      </c>
      <c r="H146">
        <v>65280</v>
      </c>
      <c r="I146">
        <v>8323199</v>
      </c>
      <c r="J146" t="s">
        <v>110</v>
      </c>
      <c r="K146" t="str">
        <f t="shared" si="2"/>
        <v>3FFFBF</v>
      </c>
    </row>
    <row r="147" spans="1:11" hidden="1">
      <c r="A147">
        <v>145</v>
      </c>
      <c r="B147">
        <v>0</v>
      </c>
      <c r="C147">
        <v>4</v>
      </c>
      <c r="D147">
        <v>2</v>
      </c>
      <c r="E147">
        <v>1</v>
      </c>
      <c r="F147" t="s">
        <v>11</v>
      </c>
      <c r="G147" t="s">
        <v>92</v>
      </c>
      <c r="H147">
        <v>0</v>
      </c>
      <c r="I147">
        <v>32512</v>
      </c>
      <c r="J147" t="s">
        <v>95</v>
      </c>
      <c r="K147" t="str">
        <f t="shared" si="2"/>
        <v>003F80</v>
      </c>
    </row>
    <row r="148" spans="1:11" hidden="1">
      <c r="A148">
        <v>146</v>
      </c>
      <c r="B148">
        <v>1</v>
      </c>
      <c r="C148">
        <v>4</v>
      </c>
      <c r="D148">
        <v>2</v>
      </c>
      <c r="E148">
        <v>1</v>
      </c>
      <c r="F148" t="s">
        <v>20</v>
      </c>
      <c r="G148" t="s">
        <v>92</v>
      </c>
      <c r="H148">
        <v>255</v>
      </c>
      <c r="I148">
        <v>32512</v>
      </c>
      <c r="J148" t="s">
        <v>25</v>
      </c>
      <c r="K148" t="str">
        <f t="shared" si="2"/>
        <v>003FFF</v>
      </c>
    </row>
    <row r="149" spans="1:11" hidden="1">
      <c r="A149">
        <v>147</v>
      </c>
      <c r="B149">
        <v>2</v>
      </c>
      <c r="C149">
        <v>4</v>
      </c>
      <c r="D149">
        <v>2</v>
      </c>
      <c r="E149">
        <v>1</v>
      </c>
      <c r="F149" t="s">
        <v>21</v>
      </c>
      <c r="G149" t="s">
        <v>92</v>
      </c>
      <c r="H149">
        <v>16711680</v>
      </c>
      <c r="I149">
        <v>32512</v>
      </c>
      <c r="J149" t="s">
        <v>111</v>
      </c>
      <c r="K149" t="str">
        <f t="shared" si="2"/>
        <v>7FBF80</v>
      </c>
    </row>
    <row r="150" spans="1:11" hidden="1">
      <c r="A150">
        <v>148</v>
      </c>
      <c r="B150">
        <v>3</v>
      </c>
      <c r="C150">
        <v>4</v>
      </c>
      <c r="D150">
        <v>2</v>
      </c>
      <c r="E150">
        <v>1</v>
      </c>
      <c r="F150" t="s">
        <v>22</v>
      </c>
      <c r="G150" t="s">
        <v>92</v>
      </c>
      <c r="H150">
        <v>16711935</v>
      </c>
      <c r="I150">
        <v>32512</v>
      </c>
      <c r="J150" t="s">
        <v>112</v>
      </c>
      <c r="K150" t="str">
        <f t="shared" si="2"/>
        <v>7FBFFF</v>
      </c>
    </row>
    <row r="151" spans="1:11" hidden="1">
      <c r="A151">
        <v>149</v>
      </c>
      <c r="B151">
        <v>4</v>
      </c>
      <c r="C151">
        <v>4</v>
      </c>
      <c r="D151">
        <v>2</v>
      </c>
      <c r="E151">
        <v>1</v>
      </c>
      <c r="F151" t="s">
        <v>23</v>
      </c>
      <c r="G151" t="s">
        <v>92</v>
      </c>
      <c r="H151">
        <v>65280</v>
      </c>
      <c r="I151">
        <v>32512</v>
      </c>
      <c r="J151" t="s">
        <v>113</v>
      </c>
      <c r="K151" t="str">
        <f t="shared" si="2"/>
        <v>00BF00</v>
      </c>
    </row>
    <row r="152" spans="1:11" hidden="1">
      <c r="A152">
        <v>150</v>
      </c>
      <c r="B152">
        <v>0</v>
      </c>
      <c r="C152">
        <v>0</v>
      </c>
      <c r="D152">
        <v>0</v>
      </c>
      <c r="E152">
        <v>2</v>
      </c>
      <c r="F152">
        <v>0</v>
      </c>
      <c r="G152" t="s">
        <v>11</v>
      </c>
      <c r="H152">
        <v>0</v>
      </c>
      <c r="I152">
        <v>0</v>
      </c>
      <c r="J152" t="s">
        <v>11</v>
      </c>
      <c r="K152" t="str">
        <f t="shared" si="2"/>
        <v>000000</v>
      </c>
    </row>
    <row r="153" spans="1:11" hidden="1">
      <c r="A153">
        <v>151</v>
      </c>
      <c r="B153">
        <v>1</v>
      </c>
      <c r="C153">
        <v>0</v>
      </c>
      <c r="D153">
        <v>0</v>
      </c>
      <c r="E153">
        <v>2</v>
      </c>
      <c r="F153">
        <v>0</v>
      </c>
      <c r="G153" t="s">
        <v>11</v>
      </c>
      <c r="H153">
        <v>0</v>
      </c>
      <c r="I153">
        <v>0</v>
      </c>
      <c r="J153" t="s">
        <v>11</v>
      </c>
      <c r="K153" t="str">
        <f t="shared" si="2"/>
        <v>000000</v>
      </c>
    </row>
    <row r="154" spans="1:11" hidden="1">
      <c r="A154">
        <v>152</v>
      </c>
      <c r="B154">
        <v>2</v>
      </c>
      <c r="C154">
        <v>0</v>
      </c>
      <c r="D154">
        <v>0</v>
      </c>
      <c r="E154">
        <v>2</v>
      </c>
      <c r="F154">
        <v>0</v>
      </c>
      <c r="G154" t="s">
        <v>11</v>
      </c>
      <c r="H154">
        <v>0</v>
      </c>
      <c r="I154">
        <v>0</v>
      </c>
      <c r="J154" t="s">
        <v>11</v>
      </c>
      <c r="K154" t="str">
        <f t="shared" si="2"/>
        <v>000000</v>
      </c>
    </row>
    <row r="155" spans="1:11" hidden="1">
      <c r="A155">
        <v>153</v>
      </c>
      <c r="B155">
        <v>3</v>
      </c>
      <c r="C155">
        <v>0</v>
      </c>
      <c r="D155">
        <v>0</v>
      </c>
      <c r="E155">
        <v>2</v>
      </c>
      <c r="F155">
        <v>0</v>
      </c>
      <c r="G155" t="s">
        <v>11</v>
      </c>
      <c r="H155">
        <v>0</v>
      </c>
      <c r="I155">
        <v>0</v>
      </c>
      <c r="J155" t="s">
        <v>11</v>
      </c>
      <c r="K155" t="str">
        <f t="shared" si="2"/>
        <v>000000</v>
      </c>
    </row>
    <row r="156" spans="1:11">
      <c r="A156">
        <v>154</v>
      </c>
      <c r="B156">
        <v>4</v>
      </c>
      <c r="C156">
        <v>0</v>
      </c>
      <c r="D156">
        <v>0</v>
      </c>
      <c r="E156">
        <v>2</v>
      </c>
      <c r="F156">
        <v>0</v>
      </c>
      <c r="G156" t="s">
        <v>11</v>
      </c>
      <c r="H156">
        <v>0</v>
      </c>
      <c r="I156">
        <v>0</v>
      </c>
      <c r="J156" t="s">
        <v>11</v>
      </c>
      <c r="K156" t="str">
        <f t="shared" si="2"/>
        <v>000000</v>
      </c>
    </row>
    <row r="157" spans="1:11" hidden="1">
      <c r="A157">
        <v>155</v>
      </c>
      <c r="B157">
        <v>0</v>
      </c>
      <c r="C157">
        <v>1</v>
      </c>
      <c r="D157">
        <v>0</v>
      </c>
      <c r="E157">
        <v>2</v>
      </c>
      <c r="F157">
        <v>0</v>
      </c>
      <c r="G157" t="s">
        <v>20</v>
      </c>
      <c r="H157">
        <v>0</v>
      </c>
      <c r="I157">
        <v>255</v>
      </c>
      <c r="J157" t="s">
        <v>12</v>
      </c>
      <c r="K157" t="str">
        <f t="shared" si="2"/>
        <v>00007F</v>
      </c>
    </row>
    <row r="158" spans="1:11" hidden="1">
      <c r="A158">
        <v>156</v>
      </c>
      <c r="B158">
        <v>1</v>
      </c>
      <c r="C158">
        <v>1</v>
      </c>
      <c r="D158">
        <v>0</v>
      </c>
      <c r="E158">
        <v>2</v>
      </c>
      <c r="F158">
        <v>0</v>
      </c>
      <c r="G158" t="s">
        <v>20</v>
      </c>
      <c r="H158">
        <v>0</v>
      </c>
      <c r="I158">
        <v>255</v>
      </c>
      <c r="J158" t="s">
        <v>12</v>
      </c>
      <c r="K158" t="str">
        <f t="shared" si="2"/>
        <v>00007F</v>
      </c>
    </row>
    <row r="159" spans="1:11" hidden="1">
      <c r="A159">
        <v>157</v>
      </c>
      <c r="B159">
        <v>2</v>
      </c>
      <c r="C159">
        <v>1</v>
      </c>
      <c r="D159">
        <v>0</v>
      </c>
      <c r="E159">
        <v>2</v>
      </c>
      <c r="F159">
        <v>0</v>
      </c>
      <c r="G159" t="s">
        <v>20</v>
      </c>
      <c r="H159">
        <v>0</v>
      </c>
      <c r="I159">
        <v>255</v>
      </c>
      <c r="J159" t="s">
        <v>12</v>
      </c>
      <c r="K159" t="str">
        <f t="shared" si="2"/>
        <v>00007F</v>
      </c>
    </row>
    <row r="160" spans="1:11" hidden="1">
      <c r="A160">
        <v>158</v>
      </c>
      <c r="B160">
        <v>3</v>
      </c>
      <c r="C160">
        <v>1</v>
      </c>
      <c r="D160">
        <v>0</v>
      </c>
      <c r="E160">
        <v>2</v>
      </c>
      <c r="F160">
        <v>0</v>
      </c>
      <c r="G160" t="s">
        <v>20</v>
      </c>
      <c r="H160">
        <v>0</v>
      </c>
      <c r="I160">
        <v>255</v>
      </c>
      <c r="J160" t="s">
        <v>12</v>
      </c>
      <c r="K160" t="str">
        <f t="shared" si="2"/>
        <v>00007F</v>
      </c>
    </row>
    <row r="161" spans="1:11" hidden="1">
      <c r="A161">
        <v>159</v>
      </c>
      <c r="B161">
        <v>4</v>
      </c>
      <c r="C161">
        <v>1</v>
      </c>
      <c r="D161">
        <v>0</v>
      </c>
      <c r="E161">
        <v>2</v>
      </c>
      <c r="F161">
        <v>0</v>
      </c>
      <c r="G161" t="s">
        <v>20</v>
      </c>
      <c r="H161">
        <v>0</v>
      </c>
      <c r="I161">
        <v>255</v>
      </c>
      <c r="J161" t="s">
        <v>12</v>
      </c>
      <c r="K161" t="str">
        <f t="shared" si="2"/>
        <v>00007F</v>
      </c>
    </row>
    <row r="162" spans="1:11" hidden="1">
      <c r="A162">
        <v>160</v>
      </c>
      <c r="B162">
        <v>0</v>
      </c>
      <c r="C162">
        <v>2</v>
      </c>
      <c r="D162">
        <v>0</v>
      </c>
      <c r="E162">
        <v>2</v>
      </c>
      <c r="F162">
        <v>0</v>
      </c>
      <c r="G162" t="s">
        <v>21</v>
      </c>
      <c r="H162">
        <v>0</v>
      </c>
      <c r="I162">
        <v>16711680</v>
      </c>
      <c r="J162" t="s">
        <v>14</v>
      </c>
      <c r="K162" t="str">
        <f t="shared" si="2"/>
        <v>7F8000</v>
      </c>
    </row>
    <row r="163" spans="1:11" hidden="1">
      <c r="A163">
        <v>161</v>
      </c>
      <c r="B163">
        <v>1</v>
      </c>
      <c r="C163">
        <v>2</v>
      </c>
      <c r="D163">
        <v>0</v>
      </c>
      <c r="E163">
        <v>2</v>
      </c>
      <c r="F163">
        <v>0</v>
      </c>
      <c r="G163" t="s">
        <v>21</v>
      </c>
      <c r="H163">
        <v>0</v>
      </c>
      <c r="I163">
        <v>16711680</v>
      </c>
      <c r="J163" t="s">
        <v>14</v>
      </c>
      <c r="K163" t="str">
        <f t="shared" si="2"/>
        <v>7F8000</v>
      </c>
    </row>
    <row r="164" spans="1:11" hidden="1">
      <c r="A164">
        <v>162</v>
      </c>
      <c r="B164">
        <v>2</v>
      </c>
      <c r="C164">
        <v>2</v>
      </c>
      <c r="D164">
        <v>0</v>
      </c>
      <c r="E164">
        <v>2</v>
      </c>
      <c r="F164">
        <v>0</v>
      </c>
      <c r="G164" t="s">
        <v>21</v>
      </c>
      <c r="H164">
        <v>0</v>
      </c>
      <c r="I164">
        <v>16711680</v>
      </c>
      <c r="J164" t="s">
        <v>14</v>
      </c>
      <c r="K164" t="str">
        <f t="shared" si="2"/>
        <v>7F8000</v>
      </c>
    </row>
    <row r="165" spans="1:11" hidden="1">
      <c r="A165">
        <v>163</v>
      </c>
      <c r="B165">
        <v>3</v>
      </c>
      <c r="C165">
        <v>2</v>
      </c>
      <c r="D165">
        <v>0</v>
      </c>
      <c r="E165">
        <v>2</v>
      </c>
      <c r="F165">
        <v>0</v>
      </c>
      <c r="G165" t="s">
        <v>21</v>
      </c>
      <c r="H165">
        <v>0</v>
      </c>
      <c r="I165">
        <v>16711680</v>
      </c>
      <c r="J165" t="s">
        <v>14</v>
      </c>
      <c r="K165" t="str">
        <f t="shared" si="2"/>
        <v>7F8000</v>
      </c>
    </row>
    <row r="166" spans="1:11" hidden="1">
      <c r="A166">
        <v>164</v>
      </c>
      <c r="B166">
        <v>4</v>
      </c>
      <c r="C166">
        <v>2</v>
      </c>
      <c r="D166">
        <v>0</v>
      </c>
      <c r="E166">
        <v>2</v>
      </c>
      <c r="F166">
        <v>0</v>
      </c>
      <c r="G166" t="s">
        <v>21</v>
      </c>
      <c r="H166">
        <v>0</v>
      </c>
      <c r="I166">
        <v>16711680</v>
      </c>
      <c r="J166" t="s">
        <v>14</v>
      </c>
      <c r="K166" t="str">
        <f t="shared" si="2"/>
        <v>7F8000</v>
      </c>
    </row>
    <row r="167" spans="1:11" hidden="1">
      <c r="A167">
        <v>165</v>
      </c>
      <c r="B167">
        <v>0</v>
      </c>
      <c r="C167">
        <v>3</v>
      </c>
      <c r="D167">
        <v>0</v>
      </c>
      <c r="E167">
        <v>2</v>
      </c>
      <c r="F167">
        <v>0</v>
      </c>
      <c r="G167" t="s">
        <v>22</v>
      </c>
      <c r="H167">
        <v>0</v>
      </c>
      <c r="I167">
        <v>16711935</v>
      </c>
      <c r="J167" t="s">
        <v>16</v>
      </c>
      <c r="K167" t="str">
        <f t="shared" si="2"/>
        <v>7F807F</v>
      </c>
    </row>
    <row r="168" spans="1:11" hidden="1">
      <c r="A168">
        <v>166</v>
      </c>
      <c r="B168">
        <v>1</v>
      </c>
      <c r="C168">
        <v>3</v>
      </c>
      <c r="D168">
        <v>0</v>
      </c>
      <c r="E168">
        <v>2</v>
      </c>
      <c r="F168">
        <v>0</v>
      </c>
      <c r="G168" t="s">
        <v>22</v>
      </c>
      <c r="H168">
        <v>0</v>
      </c>
      <c r="I168">
        <v>16711935</v>
      </c>
      <c r="J168" t="s">
        <v>16</v>
      </c>
      <c r="K168" t="str">
        <f t="shared" si="2"/>
        <v>7F807F</v>
      </c>
    </row>
    <row r="169" spans="1:11" hidden="1">
      <c r="A169">
        <v>167</v>
      </c>
      <c r="B169">
        <v>2</v>
      </c>
      <c r="C169">
        <v>3</v>
      </c>
      <c r="D169">
        <v>0</v>
      </c>
      <c r="E169">
        <v>2</v>
      </c>
      <c r="F169">
        <v>0</v>
      </c>
      <c r="G169" t="s">
        <v>22</v>
      </c>
      <c r="H169">
        <v>0</v>
      </c>
      <c r="I169">
        <v>16711935</v>
      </c>
      <c r="J169" t="s">
        <v>16</v>
      </c>
      <c r="K169" t="str">
        <f t="shared" si="2"/>
        <v>7F807F</v>
      </c>
    </row>
    <row r="170" spans="1:11" hidden="1">
      <c r="A170">
        <v>168</v>
      </c>
      <c r="B170">
        <v>3</v>
      </c>
      <c r="C170">
        <v>3</v>
      </c>
      <c r="D170">
        <v>0</v>
      </c>
      <c r="E170">
        <v>2</v>
      </c>
      <c r="F170">
        <v>0</v>
      </c>
      <c r="G170" t="s">
        <v>22</v>
      </c>
      <c r="H170">
        <v>0</v>
      </c>
      <c r="I170">
        <v>16711935</v>
      </c>
      <c r="J170" t="s">
        <v>16</v>
      </c>
      <c r="K170" t="str">
        <f t="shared" si="2"/>
        <v>7F807F</v>
      </c>
    </row>
    <row r="171" spans="1:11" hidden="1">
      <c r="A171">
        <v>169</v>
      </c>
      <c r="B171">
        <v>4</v>
      </c>
      <c r="C171">
        <v>3</v>
      </c>
      <c r="D171">
        <v>0</v>
      </c>
      <c r="E171">
        <v>2</v>
      </c>
      <c r="F171">
        <v>0</v>
      </c>
      <c r="G171" t="s">
        <v>22</v>
      </c>
      <c r="H171">
        <v>0</v>
      </c>
      <c r="I171">
        <v>16711935</v>
      </c>
      <c r="J171" t="s">
        <v>16</v>
      </c>
      <c r="K171" t="str">
        <f t="shared" si="2"/>
        <v>7F807F</v>
      </c>
    </row>
    <row r="172" spans="1:11" hidden="1">
      <c r="A172">
        <v>170</v>
      </c>
      <c r="B172">
        <v>0</v>
      </c>
      <c r="C172">
        <v>4</v>
      </c>
      <c r="D172">
        <v>0</v>
      </c>
      <c r="E172">
        <v>2</v>
      </c>
      <c r="F172">
        <v>0</v>
      </c>
      <c r="G172" t="s">
        <v>23</v>
      </c>
      <c r="H172">
        <v>0</v>
      </c>
      <c r="I172">
        <v>65280</v>
      </c>
      <c r="J172" t="s">
        <v>18</v>
      </c>
      <c r="K172" t="str">
        <f t="shared" si="2"/>
        <v>007F80</v>
      </c>
    </row>
    <row r="173" spans="1:11" hidden="1">
      <c r="A173">
        <v>171</v>
      </c>
      <c r="B173">
        <v>1</v>
      </c>
      <c r="C173">
        <v>4</v>
      </c>
      <c r="D173">
        <v>0</v>
      </c>
      <c r="E173">
        <v>2</v>
      </c>
      <c r="F173">
        <v>0</v>
      </c>
      <c r="G173" t="s">
        <v>23</v>
      </c>
      <c r="H173">
        <v>0</v>
      </c>
      <c r="I173">
        <v>65280</v>
      </c>
      <c r="J173" t="s">
        <v>18</v>
      </c>
      <c r="K173" t="str">
        <f t="shared" si="2"/>
        <v>007F80</v>
      </c>
    </row>
    <row r="174" spans="1:11" hidden="1">
      <c r="A174">
        <v>172</v>
      </c>
      <c r="B174">
        <v>2</v>
      </c>
      <c r="C174">
        <v>4</v>
      </c>
      <c r="D174">
        <v>0</v>
      </c>
      <c r="E174">
        <v>2</v>
      </c>
      <c r="F174">
        <v>0</v>
      </c>
      <c r="G174" t="s">
        <v>23</v>
      </c>
      <c r="H174">
        <v>0</v>
      </c>
      <c r="I174">
        <v>65280</v>
      </c>
      <c r="J174" t="s">
        <v>18</v>
      </c>
      <c r="K174" t="str">
        <f t="shared" si="2"/>
        <v>007F80</v>
      </c>
    </row>
    <row r="175" spans="1:11" hidden="1">
      <c r="A175">
        <v>173</v>
      </c>
      <c r="B175">
        <v>3</v>
      </c>
      <c r="C175">
        <v>4</v>
      </c>
      <c r="D175">
        <v>0</v>
      </c>
      <c r="E175">
        <v>2</v>
      </c>
      <c r="F175">
        <v>0</v>
      </c>
      <c r="G175" t="s">
        <v>23</v>
      </c>
      <c r="H175">
        <v>0</v>
      </c>
      <c r="I175">
        <v>65280</v>
      </c>
      <c r="J175" t="s">
        <v>18</v>
      </c>
      <c r="K175" t="str">
        <f t="shared" si="2"/>
        <v>007F80</v>
      </c>
    </row>
    <row r="176" spans="1:11" hidden="1">
      <c r="A176">
        <v>174</v>
      </c>
      <c r="B176">
        <v>4</v>
      </c>
      <c r="C176">
        <v>4</v>
      </c>
      <c r="D176">
        <v>0</v>
      </c>
      <c r="E176">
        <v>2</v>
      </c>
      <c r="F176">
        <v>0</v>
      </c>
      <c r="G176" t="s">
        <v>23</v>
      </c>
      <c r="H176">
        <v>0</v>
      </c>
      <c r="I176">
        <v>65280</v>
      </c>
      <c r="J176" t="s">
        <v>18</v>
      </c>
      <c r="K176" t="str">
        <f t="shared" si="2"/>
        <v>007F80</v>
      </c>
    </row>
    <row r="177" spans="1:11" hidden="1">
      <c r="A177">
        <v>175</v>
      </c>
      <c r="B177">
        <v>0</v>
      </c>
      <c r="C177">
        <v>0</v>
      </c>
      <c r="D177">
        <v>1</v>
      </c>
      <c r="E177">
        <v>2</v>
      </c>
      <c r="F177" t="s">
        <v>11</v>
      </c>
      <c r="G177" t="s">
        <v>11</v>
      </c>
      <c r="H177">
        <v>0</v>
      </c>
      <c r="I177">
        <v>0</v>
      </c>
      <c r="J177" t="s">
        <v>11</v>
      </c>
      <c r="K177" t="str">
        <f t="shared" si="2"/>
        <v>000000</v>
      </c>
    </row>
    <row r="178" spans="1:11" hidden="1">
      <c r="A178">
        <v>176</v>
      </c>
      <c r="B178">
        <v>1</v>
      </c>
      <c r="C178">
        <v>0</v>
      </c>
      <c r="D178">
        <v>1</v>
      </c>
      <c r="E178">
        <v>2</v>
      </c>
      <c r="F178" t="s">
        <v>12</v>
      </c>
      <c r="G178" t="s">
        <v>11</v>
      </c>
      <c r="H178">
        <v>127</v>
      </c>
      <c r="I178">
        <v>0</v>
      </c>
      <c r="J178" t="s">
        <v>13</v>
      </c>
      <c r="K178" t="str">
        <f t="shared" si="2"/>
        <v>00003F</v>
      </c>
    </row>
    <row r="179" spans="1:11" hidden="1">
      <c r="A179">
        <v>177</v>
      </c>
      <c r="B179">
        <v>2</v>
      </c>
      <c r="C179">
        <v>0</v>
      </c>
      <c r="D179">
        <v>1</v>
      </c>
      <c r="E179">
        <v>2</v>
      </c>
      <c r="F179" t="s">
        <v>90</v>
      </c>
      <c r="G179" t="s">
        <v>11</v>
      </c>
      <c r="H179">
        <v>8323072</v>
      </c>
      <c r="I179">
        <v>0</v>
      </c>
      <c r="J179" t="s">
        <v>93</v>
      </c>
      <c r="K179" t="str">
        <f t="shared" si="2"/>
        <v>3F8000</v>
      </c>
    </row>
    <row r="180" spans="1:11" hidden="1">
      <c r="A180">
        <v>178</v>
      </c>
      <c r="B180">
        <v>3</v>
      </c>
      <c r="C180">
        <v>0</v>
      </c>
      <c r="D180">
        <v>1</v>
      </c>
      <c r="E180">
        <v>2</v>
      </c>
      <c r="F180" t="s">
        <v>91</v>
      </c>
      <c r="G180" t="s">
        <v>11</v>
      </c>
      <c r="H180">
        <v>8323199</v>
      </c>
      <c r="I180">
        <v>0</v>
      </c>
      <c r="J180" t="s">
        <v>94</v>
      </c>
      <c r="K180" t="str">
        <f t="shared" si="2"/>
        <v>3F803F</v>
      </c>
    </row>
    <row r="181" spans="1:11">
      <c r="A181">
        <v>179</v>
      </c>
      <c r="B181">
        <v>4</v>
      </c>
      <c r="C181">
        <v>0</v>
      </c>
      <c r="D181">
        <v>1</v>
      </c>
      <c r="E181">
        <v>2</v>
      </c>
      <c r="F181" t="s">
        <v>92</v>
      </c>
      <c r="G181" t="s">
        <v>11</v>
      </c>
      <c r="H181">
        <v>32512</v>
      </c>
      <c r="I181">
        <v>0</v>
      </c>
      <c r="J181" t="s">
        <v>95</v>
      </c>
      <c r="K181" t="str">
        <f t="shared" si="2"/>
        <v>003F80</v>
      </c>
    </row>
    <row r="182" spans="1:11" hidden="1">
      <c r="A182">
        <v>180</v>
      </c>
      <c r="B182">
        <v>0</v>
      </c>
      <c r="C182">
        <v>1</v>
      </c>
      <c r="D182">
        <v>1</v>
      </c>
      <c r="E182">
        <v>2</v>
      </c>
      <c r="F182" t="s">
        <v>11</v>
      </c>
      <c r="G182" t="s">
        <v>20</v>
      </c>
      <c r="H182">
        <v>0</v>
      </c>
      <c r="I182">
        <v>255</v>
      </c>
      <c r="J182" t="s">
        <v>12</v>
      </c>
      <c r="K182" t="str">
        <f t="shared" si="2"/>
        <v>00007F</v>
      </c>
    </row>
    <row r="183" spans="1:11" hidden="1">
      <c r="A183">
        <v>181</v>
      </c>
      <c r="B183">
        <v>1</v>
      </c>
      <c r="C183">
        <v>1</v>
      </c>
      <c r="D183">
        <v>1</v>
      </c>
      <c r="E183">
        <v>2</v>
      </c>
      <c r="F183" t="s">
        <v>12</v>
      </c>
      <c r="G183" t="s">
        <v>20</v>
      </c>
      <c r="H183">
        <v>127</v>
      </c>
      <c r="I183">
        <v>255</v>
      </c>
      <c r="J183" t="s">
        <v>29</v>
      </c>
      <c r="K183" t="str">
        <f t="shared" si="2"/>
        <v>0000BF</v>
      </c>
    </row>
    <row r="184" spans="1:11" hidden="1">
      <c r="A184">
        <v>182</v>
      </c>
      <c r="B184">
        <v>2</v>
      </c>
      <c r="C184">
        <v>1</v>
      </c>
      <c r="D184">
        <v>1</v>
      </c>
      <c r="E184">
        <v>2</v>
      </c>
      <c r="F184" t="s">
        <v>90</v>
      </c>
      <c r="G184" t="s">
        <v>20</v>
      </c>
      <c r="H184">
        <v>8323072</v>
      </c>
      <c r="I184">
        <v>255</v>
      </c>
      <c r="J184" t="s">
        <v>96</v>
      </c>
      <c r="K184" t="str">
        <f t="shared" si="2"/>
        <v>3F807F</v>
      </c>
    </row>
    <row r="185" spans="1:11" hidden="1">
      <c r="A185">
        <v>183</v>
      </c>
      <c r="B185">
        <v>3</v>
      </c>
      <c r="C185">
        <v>1</v>
      </c>
      <c r="D185">
        <v>1</v>
      </c>
      <c r="E185">
        <v>2</v>
      </c>
      <c r="F185" t="s">
        <v>91</v>
      </c>
      <c r="G185" t="s">
        <v>20</v>
      </c>
      <c r="H185">
        <v>8323199</v>
      </c>
      <c r="I185">
        <v>255</v>
      </c>
      <c r="J185" t="s">
        <v>107</v>
      </c>
      <c r="K185" t="str">
        <f t="shared" si="2"/>
        <v>3F80BF</v>
      </c>
    </row>
    <row r="186" spans="1:11" hidden="1">
      <c r="A186">
        <v>184</v>
      </c>
      <c r="B186">
        <v>4</v>
      </c>
      <c r="C186">
        <v>1</v>
      </c>
      <c r="D186">
        <v>1</v>
      </c>
      <c r="E186">
        <v>2</v>
      </c>
      <c r="F186" t="s">
        <v>92</v>
      </c>
      <c r="G186" t="s">
        <v>20</v>
      </c>
      <c r="H186">
        <v>32512</v>
      </c>
      <c r="I186">
        <v>255</v>
      </c>
      <c r="J186" t="s">
        <v>25</v>
      </c>
      <c r="K186" t="str">
        <f t="shared" si="2"/>
        <v>003FFF</v>
      </c>
    </row>
    <row r="187" spans="1:11" hidden="1">
      <c r="A187">
        <v>185</v>
      </c>
      <c r="B187">
        <v>0</v>
      </c>
      <c r="C187">
        <v>2</v>
      </c>
      <c r="D187">
        <v>1</v>
      </c>
      <c r="E187">
        <v>2</v>
      </c>
      <c r="F187" t="s">
        <v>11</v>
      </c>
      <c r="G187" t="s">
        <v>21</v>
      </c>
      <c r="H187">
        <v>0</v>
      </c>
      <c r="I187">
        <v>16711680</v>
      </c>
      <c r="J187" t="s">
        <v>14</v>
      </c>
      <c r="K187" t="str">
        <f t="shared" si="2"/>
        <v>7F8000</v>
      </c>
    </row>
    <row r="188" spans="1:11" hidden="1">
      <c r="A188">
        <v>186</v>
      </c>
      <c r="B188">
        <v>1</v>
      </c>
      <c r="C188">
        <v>2</v>
      </c>
      <c r="D188">
        <v>1</v>
      </c>
      <c r="E188">
        <v>2</v>
      </c>
      <c r="F188" t="s">
        <v>12</v>
      </c>
      <c r="G188" t="s">
        <v>21</v>
      </c>
      <c r="H188">
        <v>127</v>
      </c>
      <c r="I188">
        <v>16711680</v>
      </c>
      <c r="J188" t="s">
        <v>26</v>
      </c>
      <c r="K188" t="str">
        <f t="shared" si="2"/>
        <v>7F803F</v>
      </c>
    </row>
    <row r="189" spans="1:11" hidden="1">
      <c r="A189">
        <v>187</v>
      </c>
      <c r="B189">
        <v>2</v>
      </c>
      <c r="C189">
        <v>2</v>
      </c>
      <c r="D189">
        <v>1</v>
      </c>
      <c r="E189">
        <v>2</v>
      </c>
      <c r="F189" t="s">
        <v>90</v>
      </c>
      <c r="G189" t="s">
        <v>21</v>
      </c>
      <c r="H189">
        <v>8323072</v>
      </c>
      <c r="I189">
        <v>16711680</v>
      </c>
      <c r="J189" t="s">
        <v>104</v>
      </c>
      <c r="K189" t="str">
        <f t="shared" si="2"/>
        <v>BF0000</v>
      </c>
    </row>
    <row r="190" spans="1:11" hidden="1">
      <c r="A190">
        <v>188</v>
      </c>
      <c r="B190">
        <v>3</v>
      </c>
      <c r="C190">
        <v>2</v>
      </c>
      <c r="D190">
        <v>1</v>
      </c>
      <c r="E190">
        <v>2</v>
      </c>
      <c r="F190" t="s">
        <v>91</v>
      </c>
      <c r="G190" t="s">
        <v>21</v>
      </c>
      <c r="H190">
        <v>8323199</v>
      </c>
      <c r="I190">
        <v>16711680</v>
      </c>
      <c r="J190" t="s">
        <v>108</v>
      </c>
      <c r="K190" t="str">
        <f t="shared" si="2"/>
        <v>BF003F</v>
      </c>
    </row>
    <row r="191" spans="1:11" hidden="1">
      <c r="A191">
        <v>189</v>
      </c>
      <c r="B191">
        <v>4</v>
      </c>
      <c r="C191">
        <v>2</v>
      </c>
      <c r="D191">
        <v>1</v>
      </c>
      <c r="E191">
        <v>2</v>
      </c>
      <c r="F191" t="s">
        <v>92</v>
      </c>
      <c r="G191" t="s">
        <v>21</v>
      </c>
      <c r="H191">
        <v>32512</v>
      </c>
      <c r="I191">
        <v>16711680</v>
      </c>
      <c r="J191" t="s">
        <v>111</v>
      </c>
      <c r="K191" t="str">
        <f t="shared" si="2"/>
        <v>7FBF80</v>
      </c>
    </row>
    <row r="192" spans="1:11" hidden="1">
      <c r="A192">
        <v>190</v>
      </c>
      <c r="B192">
        <v>0</v>
      </c>
      <c r="C192">
        <v>3</v>
      </c>
      <c r="D192">
        <v>1</v>
      </c>
      <c r="E192">
        <v>2</v>
      </c>
      <c r="F192" t="s">
        <v>11</v>
      </c>
      <c r="G192" t="s">
        <v>22</v>
      </c>
      <c r="H192">
        <v>0</v>
      </c>
      <c r="I192">
        <v>16711935</v>
      </c>
      <c r="J192" t="s">
        <v>16</v>
      </c>
      <c r="K192" t="str">
        <f t="shared" si="2"/>
        <v>7F807F</v>
      </c>
    </row>
    <row r="193" spans="1:11" hidden="1">
      <c r="A193">
        <v>191</v>
      </c>
      <c r="B193">
        <v>1</v>
      </c>
      <c r="C193">
        <v>3</v>
      </c>
      <c r="D193">
        <v>1</v>
      </c>
      <c r="E193">
        <v>2</v>
      </c>
      <c r="F193" t="s">
        <v>12</v>
      </c>
      <c r="G193" t="s">
        <v>22</v>
      </c>
      <c r="H193">
        <v>127</v>
      </c>
      <c r="I193">
        <v>16711935</v>
      </c>
      <c r="J193" t="s">
        <v>30</v>
      </c>
      <c r="K193" t="str">
        <f t="shared" si="2"/>
        <v>7F80BF</v>
      </c>
    </row>
    <row r="194" spans="1:11" hidden="1">
      <c r="A194">
        <v>192</v>
      </c>
      <c r="B194">
        <v>2</v>
      </c>
      <c r="C194">
        <v>3</v>
      </c>
      <c r="D194">
        <v>1</v>
      </c>
      <c r="E194">
        <v>2</v>
      </c>
      <c r="F194" t="s">
        <v>90</v>
      </c>
      <c r="G194" t="s">
        <v>22</v>
      </c>
      <c r="H194">
        <v>8323072</v>
      </c>
      <c r="I194">
        <v>16711935</v>
      </c>
      <c r="J194" t="s">
        <v>105</v>
      </c>
      <c r="K194" t="str">
        <f t="shared" si="2"/>
        <v>BF007F</v>
      </c>
    </row>
    <row r="195" spans="1:11" hidden="1">
      <c r="A195">
        <v>193</v>
      </c>
      <c r="B195">
        <v>3</v>
      </c>
      <c r="C195">
        <v>3</v>
      </c>
      <c r="D195">
        <v>1</v>
      </c>
      <c r="E195">
        <v>2</v>
      </c>
      <c r="F195" t="s">
        <v>91</v>
      </c>
      <c r="G195" t="s">
        <v>22</v>
      </c>
      <c r="H195">
        <v>8323199</v>
      </c>
      <c r="I195">
        <v>16711935</v>
      </c>
      <c r="J195" t="s">
        <v>109</v>
      </c>
      <c r="K195" t="str">
        <f t="shared" ref="K195:K226" si="3">RIGHT("00000"&amp;J195,6)</f>
        <v>BF00BF</v>
      </c>
    </row>
    <row r="196" spans="1:11" hidden="1">
      <c r="A196">
        <v>194</v>
      </c>
      <c r="B196">
        <v>4</v>
      </c>
      <c r="C196">
        <v>3</v>
      </c>
      <c r="D196">
        <v>1</v>
      </c>
      <c r="E196">
        <v>2</v>
      </c>
      <c r="F196" t="s">
        <v>92</v>
      </c>
      <c r="G196" t="s">
        <v>22</v>
      </c>
      <c r="H196">
        <v>32512</v>
      </c>
      <c r="I196">
        <v>16711935</v>
      </c>
      <c r="J196" t="s">
        <v>112</v>
      </c>
      <c r="K196" t="str">
        <f t="shared" si="3"/>
        <v>7FBFFF</v>
      </c>
    </row>
    <row r="197" spans="1:11" hidden="1">
      <c r="A197">
        <v>195</v>
      </c>
      <c r="B197">
        <v>0</v>
      </c>
      <c r="C197">
        <v>4</v>
      </c>
      <c r="D197">
        <v>1</v>
      </c>
      <c r="E197">
        <v>2</v>
      </c>
      <c r="F197" t="s">
        <v>11</v>
      </c>
      <c r="G197" t="s">
        <v>23</v>
      </c>
      <c r="H197">
        <v>0</v>
      </c>
      <c r="I197">
        <v>65280</v>
      </c>
      <c r="J197" t="s">
        <v>18</v>
      </c>
      <c r="K197" t="str">
        <f t="shared" si="3"/>
        <v>007F80</v>
      </c>
    </row>
    <row r="198" spans="1:11" hidden="1">
      <c r="A198">
        <v>196</v>
      </c>
      <c r="B198">
        <v>1</v>
      </c>
      <c r="C198">
        <v>4</v>
      </c>
      <c r="D198">
        <v>1</v>
      </c>
      <c r="E198">
        <v>2</v>
      </c>
      <c r="F198" t="s">
        <v>12</v>
      </c>
      <c r="G198" t="s">
        <v>23</v>
      </c>
      <c r="H198">
        <v>127</v>
      </c>
      <c r="I198">
        <v>65280</v>
      </c>
      <c r="J198" t="s">
        <v>31</v>
      </c>
      <c r="K198" t="str">
        <f t="shared" si="3"/>
        <v>007FBF</v>
      </c>
    </row>
    <row r="199" spans="1:11" hidden="1">
      <c r="A199">
        <v>197</v>
      </c>
      <c r="B199">
        <v>2</v>
      </c>
      <c r="C199">
        <v>4</v>
      </c>
      <c r="D199">
        <v>1</v>
      </c>
      <c r="E199">
        <v>2</v>
      </c>
      <c r="F199" t="s">
        <v>90</v>
      </c>
      <c r="G199" t="s">
        <v>23</v>
      </c>
      <c r="H199">
        <v>8323072</v>
      </c>
      <c r="I199">
        <v>65280</v>
      </c>
      <c r="J199" t="s">
        <v>106</v>
      </c>
      <c r="K199" t="str">
        <f t="shared" si="3"/>
        <v>3FFF80</v>
      </c>
    </row>
    <row r="200" spans="1:11" hidden="1">
      <c r="A200">
        <v>198</v>
      </c>
      <c r="B200">
        <v>3</v>
      </c>
      <c r="C200">
        <v>4</v>
      </c>
      <c r="D200">
        <v>1</v>
      </c>
      <c r="E200">
        <v>2</v>
      </c>
      <c r="F200" t="s">
        <v>91</v>
      </c>
      <c r="G200" t="s">
        <v>23</v>
      </c>
      <c r="H200">
        <v>8323199</v>
      </c>
      <c r="I200">
        <v>65280</v>
      </c>
      <c r="J200" t="s">
        <v>110</v>
      </c>
      <c r="K200" t="str">
        <f t="shared" si="3"/>
        <v>3FFFBF</v>
      </c>
    </row>
    <row r="201" spans="1:11" hidden="1">
      <c r="A201">
        <v>199</v>
      </c>
      <c r="B201">
        <v>4</v>
      </c>
      <c r="C201">
        <v>4</v>
      </c>
      <c r="D201">
        <v>1</v>
      </c>
      <c r="E201">
        <v>2</v>
      </c>
      <c r="F201" t="s">
        <v>92</v>
      </c>
      <c r="G201" t="s">
        <v>23</v>
      </c>
      <c r="H201">
        <v>32512</v>
      </c>
      <c r="I201">
        <v>65280</v>
      </c>
      <c r="J201" t="s">
        <v>113</v>
      </c>
      <c r="K201" t="str">
        <f t="shared" si="3"/>
        <v>00BF00</v>
      </c>
    </row>
    <row r="202" spans="1:11" hidden="1">
      <c r="A202">
        <v>200</v>
      </c>
      <c r="B202">
        <v>0</v>
      </c>
      <c r="C202">
        <v>0</v>
      </c>
      <c r="D202">
        <v>2</v>
      </c>
      <c r="E202">
        <v>2</v>
      </c>
      <c r="F202" t="s">
        <v>11</v>
      </c>
      <c r="G202" t="s">
        <v>11</v>
      </c>
      <c r="H202">
        <v>0</v>
      </c>
      <c r="I202">
        <v>0</v>
      </c>
      <c r="J202" t="s">
        <v>11</v>
      </c>
      <c r="K202" t="str">
        <f t="shared" si="3"/>
        <v>000000</v>
      </c>
    </row>
    <row r="203" spans="1:11" hidden="1">
      <c r="A203">
        <v>201</v>
      </c>
      <c r="B203">
        <v>1</v>
      </c>
      <c r="C203">
        <v>0</v>
      </c>
      <c r="D203">
        <v>2</v>
      </c>
      <c r="E203">
        <v>2</v>
      </c>
      <c r="F203" t="s">
        <v>20</v>
      </c>
      <c r="G203" t="s">
        <v>11</v>
      </c>
      <c r="H203">
        <v>255</v>
      </c>
      <c r="I203">
        <v>0</v>
      </c>
      <c r="J203" t="s">
        <v>12</v>
      </c>
      <c r="K203" t="str">
        <f t="shared" si="3"/>
        <v>00007F</v>
      </c>
    </row>
    <row r="204" spans="1:11" hidden="1">
      <c r="A204">
        <v>202</v>
      </c>
      <c r="B204">
        <v>2</v>
      </c>
      <c r="C204">
        <v>0</v>
      </c>
      <c r="D204">
        <v>2</v>
      </c>
      <c r="E204">
        <v>2</v>
      </c>
      <c r="F204" t="s">
        <v>21</v>
      </c>
      <c r="G204" t="s">
        <v>11</v>
      </c>
      <c r="H204">
        <v>16711680</v>
      </c>
      <c r="I204">
        <v>0</v>
      </c>
      <c r="J204" t="s">
        <v>14</v>
      </c>
      <c r="K204" t="str">
        <f t="shared" si="3"/>
        <v>7F8000</v>
      </c>
    </row>
    <row r="205" spans="1:11" hidden="1">
      <c r="A205">
        <v>203</v>
      </c>
      <c r="B205">
        <v>3</v>
      </c>
      <c r="C205">
        <v>0</v>
      </c>
      <c r="D205">
        <v>2</v>
      </c>
      <c r="E205">
        <v>2</v>
      </c>
      <c r="F205" t="s">
        <v>22</v>
      </c>
      <c r="G205" t="s">
        <v>11</v>
      </c>
      <c r="H205">
        <v>16711935</v>
      </c>
      <c r="I205">
        <v>0</v>
      </c>
      <c r="J205" t="s">
        <v>16</v>
      </c>
      <c r="K205" t="str">
        <f t="shared" si="3"/>
        <v>7F807F</v>
      </c>
    </row>
    <row r="206" spans="1:11">
      <c r="A206">
        <v>204</v>
      </c>
      <c r="B206">
        <v>4</v>
      </c>
      <c r="C206">
        <v>0</v>
      </c>
      <c r="D206">
        <v>2</v>
      </c>
      <c r="E206">
        <v>2</v>
      </c>
      <c r="F206" t="s">
        <v>23</v>
      </c>
      <c r="G206" t="s">
        <v>11</v>
      </c>
      <c r="H206">
        <v>65280</v>
      </c>
      <c r="I206">
        <v>0</v>
      </c>
      <c r="J206" t="s">
        <v>18</v>
      </c>
      <c r="K206" t="str">
        <f t="shared" si="3"/>
        <v>007F80</v>
      </c>
    </row>
    <row r="207" spans="1:11" hidden="1">
      <c r="A207">
        <v>205</v>
      </c>
      <c r="B207">
        <v>0</v>
      </c>
      <c r="C207">
        <v>1</v>
      </c>
      <c r="D207">
        <v>2</v>
      </c>
      <c r="E207">
        <v>2</v>
      </c>
      <c r="F207" t="s">
        <v>11</v>
      </c>
      <c r="G207" t="s">
        <v>20</v>
      </c>
      <c r="H207">
        <v>0</v>
      </c>
      <c r="I207">
        <v>255</v>
      </c>
      <c r="J207" t="s">
        <v>12</v>
      </c>
      <c r="K207" t="str">
        <f t="shared" si="3"/>
        <v>00007F</v>
      </c>
    </row>
    <row r="208" spans="1:11" hidden="1">
      <c r="A208">
        <v>206</v>
      </c>
      <c r="B208">
        <v>1</v>
      </c>
      <c r="C208">
        <v>1</v>
      </c>
      <c r="D208">
        <v>2</v>
      </c>
      <c r="E208">
        <v>2</v>
      </c>
      <c r="F208" t="s">
        <v>20</v>
      </c>
      <c r="G208" t="s">
        <v>20</v>
      </c>
      <c r="H208">
        <v>255</v>
      </c>
      <c r="I208">
        <v>255</v>
      </c>
      <c r="J208" t="s">
        <v>20</v>
      </c>
      <c r="K208" t="str">
        <f t="shared" si="3"/>
        <v>0000FF</v>
      </c>
    </row>
    <row r="209" spans="1:11" hidden="1">
      <c r="A209">
        <v>207</v>
      </c>
      <c r="B209">
        <v>2</v>
      </c>
      <c r="C209">
        <v>1</v>
      </c>
      <c r="D209">
        <v>2</v>
      </c>
      <c r="E209">
        <v>2</v>
      </c>
      <c r="F209" t="s">
        <v>21</v>
      </c>
      <c r="G209" t="s">
        <v>20</v>
      </c>
      <c r="H209">
        <v>16711680</v>
      </c>
      <c r="I209">
        <v>255</v>
      </c>
      <c r="J209" t="s">
        <v>16</v>
      </c>
      <c r="K209" t="str">
        <f t="shared" si="3"/>
        <v>7F807F</v>
      </c>
    </row>
    <row r="210" spans="1:11" hidden="1">
      <c r="A210">
        <v>208</v>
      </c>
      <c r="B210">
        <v>3</v>
      </c>
      <c r="C210">
        <v>1</v>
      </c>
      <c r="D210">
        <v>2</v>
      </c>
      <c r="E210">
        <v>2</v>
      </c>
      <c r="F210" t="s">
        <v>22</v>
      </c>
      <c r="G210" t="s">
        <v>20</v>
      </c>
      <c r="H210">
        <v>16711935</v>
      </c>
      <c r="I210">
        <v>255</v>
      </c>
      <c r="J210" t="s">
        <v>43</v>
      </c>
      <c r="K210" t="str">
        <f t="shared" si="3"/>
        <v>7F80FF</v>
      </c>
    </row>
    <row r="211" spans="1:11" hidden="1">
      <c r="A211">
        <v>209</v>
      </c>
      <c r="B211">
        <v>4</v>
      </c>
      <c r="C211">
        <v>1</v>
      </c>
      <c r="D211">
        <v>2</v>
      </c>
      <c r="E211">
        <v>2</v>
      </c>
      <c r="F211" t="s">
        <v>23</v>
      </c>
      <c r="G211" t="s">
        <v>20</v>
      </c>
      <c r="H211">
        <v>65280</v>
      </c>
      <c r="I211">
        <v>255</v>
      </c>
      <c r="J211" t="s">
        <v>44</v>
      </c>
      <c r="K211" t="str">
        <f t="shared" si="3"/>
        <v>007FFF</v>
      </c>
    </row>
    <row r="212" spans="1:11" hidden="1">
      <c r="A212">
        <v>210</v>
      </c>
      <c r="B212">
        <v>0</v>
      </c>
      <c r="C212">
        <v>2</v>
      </c>
      <c r="D212">
        <v>2</v>
      </c>
      <c r="E212">
        <v>2</v>
      </c>
      <c r="F212" t="s">
        <v>11</v>
      </c>
      <c r="G212" t="s">
        <v>21</v>
      </c>
      <c r="H212">
        <v>0</v>
      </c>
      <c r="I212">
        <v>16711680</v>
      </c>
      <c r="J212" t="s">
        <v>14</v>
      </c>
      <c r="K212" t="str">
        <f t="shared" si="3"/>
        <v>7F8000</v>
      </c>
    </row>
    <row r="213" spans="1:11" hidden="1">
      <c r="A213">
        <v>211</v>
      </c>
      <c r="B213">
        <v>1</v>
      </c>
      <c r="C213">
        <v>2</v>
      </c>
      <c r="D213">
        <v>2</v>
      </c>
      <c r="E213">
        <v>2</v>
      </c>
      <c r="F213" t="s">
        <v>20</v>
      </c>
      <c r="G213" t="s">
        <v>21</v>
      </c>
      <c r="H213">
        <v>255</v>
      </c>
      <c r="I213">
        <v>16711680</v>
      </c>
      <c r="J213" t="s">
        <v>16</v>
      </c>
      <c r="K213" t="str">
        <f t="shared" si="3"/>
        <v>7F807F</v>
      </c>
    </row>
    <row r="214" spans="1:11" hidden="1">
      <c r="A214">
        <v>212</v>
      </c>
      <c r="B214">
        <v>2</v>
      </c>
      <c r="C214">
        <v>2</v>
      </c>
      <c r="D214">
        <v>2</v>
      </c>
      <c r="E214">
        <v>2</v>
      </c>
      <c r="F214" t="s">
        <v>21</v>
      </c>
      <c r="G214" t="s">
        <v>21</v>
      </c>
      <c r="H214">
        <v>16711680</v>
      </c>
      <c r="I214">
        <v>16711680</v>
      </c>
      <c r="J214" t="s">
        <v>21</v>
      </c>
      <c r="K214" t="str">
        <f t="shared" si="3"/>
        <v>FF0000</v>
      </c>
    </row>
    <row r="215" spans="1:11" hidden="1">
      <c r="A215">
        <v>213</v>
      </c>
      <c r="B215">
        <v>3</v>
      </c>
      <c r="C215">
        <v>2</v>
      </c>
      <c r="D215">
        <v>2</v>
      </c>
      <c r="E215">
        <v>2</v>
      </c>
      <c r="F215" t="s">
        <v>22</v>
      </c>
      <c r="G215" t="s">
        <v>21</v>
      </c>
      <c r="H215">
        <v>16711935</v>
      </c>
      <c r="I215">
        <v>16711680</v>
      </c>
      <c r="J215" t="s">
        <v>45</v>
      </c>
      <c r="K215" t="str">
        <f t="shared" si="3"/>
        <v>FF007F</v>
      </c>
    </row>
    <row r="216" spans="1:11" hidden="1">
      <c r="A216">
        <v>214</v>
      </c>
      <c r="B216">
        <v>4</v>
      </c>
      <c r="C216">
        <v>2</v>
      </c>
      <c r="D216">
        <v>2</v>
      </c>
      <c r="E216">
        <v>2</v>
      </c>
      <c r="F216" t="s">
        <v>23</v>
      </c>
      <c r="G216" t="s">
        <v>21</v>
      </c>
      <c r="H216">
        <v>65280</v>
      </c>
      <c r="I216">
        <v>16711680</v>
      </c>
      <c r="J216" t="s">
        <v>46</v>
      </c>
      <c r="K216" t="str">
        <f t="shared" si="3"/>
        <v>7FFF80</v>
      </c>
    </row>
    <row r="217" spans="1:11" hidden="1">
      <c r="A217">
        <v>215</v>
      </c>
      <c r="B217">
        <v>0</v>
      </c>
      <c r="C217">
        <v>3</v>
      </c>
      <c r="D217">
        <v>2</v>
      </c>
      <c r="E217">
        <v>2</v>
      </c>
      <c r="F217" t="s">
        <v>11</v>
      </c>
      <c r="G217" t="s">
        <v>22</v>
      </c>
      <c r="H217">
        <v>0</v>
      </c>
      <c r="I217">
        <v>16711935</v>
      </c>
      <c r="J217" t="s">
        <v>16</v>
      </c>
      <c r="K217" t="str">
        <f t="shared" si="3"/>
        <v>7F807F</v>
      </c>
    </row>
    <row r="218" spans="1:11" hidden="1">
      <c r="A218">
        <v>216</v>
      </c>
      <c r="B218">
        <v>1</v>
      </c>
      <c r="C218">
        <v>3</v>
      </c>
      <c r="D218">
        <v>2</v>
      </c>
      <c r="E218">
        <v>2</v>
      </c>
      <c r="F218" t="s">
        <v>20</v>
      </c>
      <c r="G218" t="s">
        <v>22</v>
      </c>
      <c r="H218">
        <v>255</v>
      </c>
      <c r="I218">
        <v>16711935</v>
      </c>
      <c r="J218" t="s">
        <v>43</v>
      </c>
      <c r="K218" t="str">
        <f t="shared" si="3"/>
        <v>7F80FF</v>
      </c>
    </row>
    <row r="219" spans="1:11" hidden="1">
      <c r="A219">
        <v>217</v>
      </c>
      <c r="B219">
        <v>2</v>
      </c>
      <c r="C219">
        <v>3</v>
      </c>
      <c r="D219">
        <v>2</v>
      </c>
      <c r="E219">
        <v>2</v>
      </c>
      <c r="F219" t="s">
        <v>21</v>
      </c>
      <c r="G219" t="s">
        <v>22</v>
      </c>
      <c r="H219">
        <v>16711680</v>
      </c>
      <c r="I219">
        <v>16711935</v>
      </c>
      <c r="J219" t="s">
        <v>45</v>
      </c>
      <c r="K219" t="str">
        <f t="shared" si="3"/>
        <v>FF007F</v>
      </c>
    </row>
    <row r="220" spans="1:11" hidden="1">
      <c r="A220">
        <v>218</v>
      </c>
      <c r="B220">
        <v>3</v>
      </c>
      <c r="C220">
        <v>3</v>
      </c>
      <c r="D220">
        <v>2</v>
      </c>
      <c r="E220">
        <v>2</v>
      </c>
      <c r="F220" t="s">
        <v>22</v>
      </c>
      <c r="G220" t="s">
        <v>22</v>
      </c>
      <c r="H220">
        <v>16711935</v>
      </c>
      <c r="I220">
        <v>16711935</v>
      </c>
      <c r="J220" t="s">
        <v>22</v>
      </c>
      <c r="K220" t="str">
        <f t="shared" si="3"/>
        <v>FF00FF</v>
      </c>
    </row>
    <row r="221" spans="1:11" hidden="1">
      <c r="A221">
        <v>219</v>
      </c>
      <c r="B221">
        <v>4</v>
      </c>
      <c r="C221">
        <v>3</v>
      </c>
      <c r="D221">
        <v>2</v>
      </c>
      <c r="E221">
        <v>2</v>
      </c>
      <c r="F221" t="s">
        <v>23</v>
      </c>
      <c r="G221" t="s">
        <v>22</v>
      </c>
      <c r="H221">
        <v>65280</v>
      </c>
      <c r="I221">
        <v>16711935</v>
      </c>
      <c r="J221" t="s">
        <v>47</v>
      </c>
      <c r="K221" t="str">
        <f t="shared" si="3"/>
        <v>7FFFFF</v>
      </c>
    </row>
    <row r="222" spans="1:11" hidden="1">
      <c r="A222">
        <v>220</v>
      </c>
      <c r="B222">
        <v>0</v>
      </c>
      <c r="C222">
        <v>4</v>
      </c>
      <c r="D222">
        <v>2</v>
      </c>
      <c r="E222">
        <v>2</v>
      </c>
      <c r="F222" t="s">
        <v>11</v>
      </c>
      <c r="G222" t="s">
        <v>23</v>
      </c>
      <c r="H222">
        <v>0</v>
      </c>
      <c r="I222">
        <v>65280</v>
      </c>
      <c r="J222" t="s">
        <v>18</v>
      </c>
      <c r="K222" t="str">
        <f t="shared" si="3"/>
        <v>007F80</v>
      </c>
    </row>
    <row r="223" spans="1:11" hidden="1">
      <c r="A223">
        <v>221</v>
      </c>
      <c r="B223">
        <v>1</v>
      </c>
      <c r="C223">
        <v>4</v>
      </c>
      <c r="D223">
        <v>2</v>
      </c>
      <c r="E223">
        <v>2</v>
      </c>
      <c r="F223" t="s">
        <v>20</v>
      </c>
      <c r="G223" t="s">
        <v>23</v>
      </c>
      <c r="H223">
        <v>255</v>
      </c>
      <c r="I223">
        <v>65280</v>
      </c>
      <c r="J223" t="s">
        <v>44</v>
      </c>
      <c r="K223" t="str">
        <f t="shared" si="3"/>
        <v>007FFF</v>
      </c>
    </row>
    <row r="224" spans="1:11" hidden="1">
      <c r="A224">
        <v>222</v>
      </c>
      <c r="B224">
        <v>2</v>
      </c>
      <c r="C224">
        <v>4</v>
      </c>
      <c r="D224">
        <v>2</v>
      </c>
      <c r="E224">
        <v>2</v>
      </c>
      <c r="F224" t="s">
        <v>21</v>
      </c>
      <c r="G224" t="s">
        <v>23</v>
      </c>
      <c r="H224">
        <v>16711680</v>
      </c>
      <c r="I224">
        <v>65280</v>
      </c>
      <c r="J224" t="s">
        <v>46</v>
      </c>
      <c r="K224" t="str">
        <f t="shared" si="3"/>
        <v>7FFF80</v>
      </c>
    </row>
    <row r="225" spans="1:11" hidden="1">
      <c r="A225">
        <v>223</v>
      </c>
      <c r="B225">
        <v>3</v>
      </c>
      <c r="C225">
        <v>4</v>
      </c>
      <c r="D225">
        <v>2</v>
      </c>
      <c r="E225">
        <v>2</v>
      </c>
      <c r="F225" t="s">
        <v>22</v>
      </c>
      <c r="G225" t="s">
        <v>23</v>
      </c>
      <c r="H225">
        <v>16711935</v>
      </c>
      <c r="I225">
        <v>65280</v>
      </c>
      <c r="J225" t="s">
        <v>47</v>
      </c>
      <c r="K225" t="str">
        <f t="shared" si="3"/>
        <v>7FFFFF</v>
      </c>
    </row>
    <row r="226" spans="1:11" hidden="1">
      <c r="A226">
        <v>224</v>
      </c>
      <c r="B226">
        <v>4</v>
      </c>
      <c r="C226">
        <v>4</v>
      </c>
      <c r="D226">
        <v>2</v>
      </c>
      <c r="E226">
        <v>2</v>
      </c>
      <c r="F226" t="s">
        <v>23</v>
      </c>
      <c r="G226" t="s">
        <v>23</v>
      </c>
      <c r="H226">
        <v>65280</v>
      </c>
      <c r="I226">
        <v>65280</v>
      </c>
      <c r="J226" t="s">
        <v>23</v>
      </c>
      <c r="K226" t="str">
        <f t="shared" si="3"/>
        <v>00FF00</v>
      </c>
    </row>
  </sheetData>
  <autoFilter ref="A1:K226">
    <filterColumn colId="1">
      <filters>
        <filter val="4"/>
      </filters>
    </filterColumn>
    <filterColumn colId="2">
      <filters>
        <filter val="0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101"/>
  <sheetViews>
    <sheetView workbookViewId="0">
      <selection activeCell="B2" sqref="B2"/>
    </sheetView>
  </sheetViews>
  <sheetFormatPr defaultRowHeight="15"/>
  <sheetData>
    <row r="1" spans="1:11">
      <c r="A1" s="5" t="s">
        <v>6</v>
      </c>
      <c r="B1" s="5" t="s">
        <v>7</v>
      </c>
      <c r="C1" s="5" t="s">
        <v>8</v>
      </c>
      <c r="D1" s="5" t="s">
        <v>4</v>
      </c>
      <c r="E1" s="5" t="s">
        <v>5</v>
      </c>
      <c r="F1" s="5" t="s">
        <v>9</v>
      </c>
      <c r="G1" s="5" t="s">
        <v>10</v>
      </c>
      <c r="H1" s="5" t="s">
        <v>9</v>
      </c>
      <c r="I1" s="5" t="s">
        <v>10</v>
      </c>
      <c r="J1" s="5" t="s">
        <v>48</v>
      </c>
      <c r="K1" s="5" t="s">
        <v>49</v>
      </c>
    </row>
    <row r="2" spans="1:11">
      <c r="A2" s="1">
        <v>100</v>
      </c>
      <c r="B2" s="1">
        <v>0</v>
      </c>
      <c r="C2" s="1">
        <v>0</v>
      </c>
      <c r="D2" s="1">
        <v>1</v>
      </c>
      <c r="E2" s="1">
        <v>1</v>
      </c>
      <c r="F2" s="1" t="s">
        <v>11</v>
      </c>
      <c r="G2" s="1" t="s">
        <v>11</v>
      </c>
      <c r="H2" s="1">
        <v>0</v>
      </c>
      <c r="I2" s="1">
        <v>0</v>
      </c>
      <c r="J2" s="1" t="s">
        <v>11</v>
      </c>
      <c r="K2">
        <f>INT(J2&lt;&gt;J1)</f>
        <v>1</v>
      </c>
    </row>
    <row r="3" spans="1:11" hidden="1">
      <c r="A3" s="1">
        <v>125</v>
      </c>
      <c r="B3" s="1">
        <v>0</v>
      </c>
      <c r="C3" s="1">
        <v>0</v>
      </c>
      <c r="D3" s="1">
        <v>2</v>
      </c>
      <c r="E3" s="1">
        <v>1</v>
      </c>
      <c r="F3" s="1" t="s">
        <v>11</v>
      </c>
      <c r="G3" s="1" t="s">
        <v>11</v>
      </c>
      <c r="H3" s="1">
        <v>0</v>
      </c>
      <c r="I3" s="1">
        <v>0</v>
      </c>
      <c r="J3" s="1" t="s">
        <v>11</v>
      </c>
      <c r="K3">
        <f t="shared" ref="K3:K66" si="0">INT(J3&lt;&gt;J2)</f>
        <v>0</v>
      </c>
    </row>
    <row r="4" spans="1:11" hidden="1">
      <c r="A4" s="1">
        <v>175</v>
      </c>
      <c r="B4" s="1">
        <v>0</v>
      </c>
      <c r="C4" s="1">
        <v>0</v>
      </c>
      <c r="D4" s="1">
        <v>1</v>
      </c>
      <c r="E4" s="1">
        <v>2</v>
      </c>
      <c r="F4" s="1" t="s">
        <v>11</v>
      </c>
      <c r="G4" s="1" t="s">
        <v>11</v>
      </c>
      <c r="H4" s="1">
        <v>0</v>
      </c>
      <c r="I4" s="1">
        <v>0</v>
      </c>
      <c r="J4" s="1" t="s">
        <v>11</v>
      </c>
      <c r="K4">
        <f t="shared" si="0"/>
        <v>0</v>
      </c>
    </row>
    <row r="5" spans="1:11" hidden="1">
      <c r="A5" s="1">
        <v>200</v>
      </c>
      <c r="B5" s="1">
        <v>0</v>
      </c>
      <c r="C5" s="1">
        <v>0</v>
      </c>
      <c r="D5" s="1">
        <v>2</v>
      </c>
      <c r="E5" s="1">
        <v>2</v>
      </c>
      <c r="F5" s="1" t="s">
        <v>11</v>
      </c>
      <c r="G5" s="1" t="s">
        <v>11</v>
      </c>
      <c r="H5" s="1">
        <v>0</v>
      </c>
      <c r="I5" s="1">
        <v>0</v>
      </c>
      <c r="J5" s="1" t="s">
        <v>11</v>
      </c>
      <c r="K5">
        <f t="shared" si="0"/>
        <v>0</v>
      </c>
    </row>
    <row r="6" spans="1:11">
      <c r="A6" s="1">
        <v>101</v>
      </c>
      <c r="B6" s="1">
        <v>1</v>
      </c>
      <c r="C6" s="1">
        <v>0</v>
      </c>
      <c r="D6" s="1">
        <v>1</v>
      </c>
      <c r="E6" s="1">
        <v>1</v>
      </c>
      <c r="F6" s="1" t="s">
        <v>12</v>
      </c>
      <c r="G6" s="1" t="s">
        <v>11</v>
      </c>
      <c r="H6" s="1">
        <v>127</v>
      </c>
      <c r="I6" s="1">
        <v>0</v>
      </c>
      <c r="J6" s="1" t="s">
        <v>13</v>
      </c>
      <c r="K6">
        <f t="shared" si="0"/>
        <v>1</v>
      </c>
    </row>
    <row r="7" spans="1:11" hidden="1">
      <c r="A7" s="1">
        <v>105</v>
      </c>
      <c r="B7" s="1">
        <v>0</v>
      </c>
      <c r="C7" s="1">
        <v>1</v>
      </c>
      <c r="D7" s="1">
        <v>1</v>
      </c>
      <c r="E7" s="1">
        <v>1</v>
      </c>
      <c r="F7" s="1" t="s">
        <v>11</v>
      </c>
      <c r="G7" s="1" t="s">
        <v>12</v>
      </c>
      <c r="H7" s="1">
        <v>0</v>
      </c>
      <c r="I7" s="1">
        <v>127</v>
      </c>
      <c r="J7" s="1" t="s">
        <v>13</v>
      </c>
      <c r="K7">
        <f t="shared" si="0"/>
        <v>0</v>
      </c>
    </row>
    <row r="8" spans="1:11" hidden="1">
      <c r="A8" s="1">
        <v>130</v>
      </c>
      <c r="B8" s="1">
        <v>0</v>
      </c>
      <c r="C8" s="1">
        <v>1</v>
      </c>
      <c r="D8" s="1">
        <v>2</v>
      </c>
      <c r="E8" s="1">
        <v>1</v>
      </c>
      <c r="F8" s="1" t="s">
        <v>11</v>
      </c>
      <c r="G8" s="1" t="s">
        <v>12</v>
      </c>
      <c r="H8" s="1">
        <v>0</v>
      </c>
      <c r="I8" s="1">
        <v>127</v>
      </c>
      <c r="J8" s="1" t="s">
        <v>13</v>
      </c>
      <c r="K8">
        <f t="shared" si="0"/>
        <v>0</v>
      </c>
    </row>
    <row r="9" spans="1:11" hidden="1">
      <c r="A9" s="1">
        <v>176</v>
      </c>
      <c r="B9" s="1">
        <v>1</v>
      </c>
      <c r="C9" s="1">
        <v>0</v>
      </c>
      <c r="D9" s="1">
        <v>1</v>
      </c>
      <c r="E9" s="1">
        <v>2</v>
      </c>
      <c r="F9" s="1" t="s">
        <v>12</v>
      </c>
      <c r="G9" s="1" t="s">
        <v>11</v>
      </c>
      <c r="H9" s="1">
        <v>127</v>
      </c>
      <c r="I9" s="1">
        <v>0</v>
      </c>
      <c r="J9" s="1" t="s">
        <v>13</v>
      </c>
      <c r="K9">
        <f t="shared" si="0"/>
        <v>0</v>
      </c>
    </row>
    <row r="10" spans="1:11">
      <c r="A10" s="1">
        <v>104</v>
      </c>
      <c r="B10" s="1">
        <v>4</v>
      </c>
      <c r="C10" s="1">
        <v>0</v>
      </c>
      <c r="D10" s="1">
        <v>1</v>
      </c>
      <c r="E10" s="1">
        <v>1</v>
      </c>
      <c r="F10" s="1" t="s">
        <v>18</v>
      </c>
      <c r="G10" s="1" t="s">
        <v>11</v>
      </c>
      <c r="H10" s="1">
        <v>32640</v>
      </c>
      <c r="I10" s="1">
        <v>0</v>
      </c>
      <c r="J10" s="1" t="s">
        <v>19</v>
      </c>
      <c r="K10">
        <f t="shared" si="0"/>
        <v>1</v>
      </c>
    </row>
    <row r="11" spans="1:11" hidden="1">
      <c r="A11" s="1">
        <v>120</v>
      </c>
      <c r="B11" s="1">
        <v>0</v>
      </c>
      <c r="C11" s="1">
        <v>4</v>
      </c>
      <c r="D11" s="1">
        <v>1</v>
      </c>
      <c r="E11" s="1">
        <v>1</v>
      </c>
      <c r="F11" s="1" t="s">
        <v>11</v>
      </c>
      <c r="G11" s="1" t="s">
        <v>18</v>
      </c>
      <c r="H11" s="1">
        <v>0</v>
      </c>
      <c r="I11" s="1">
        <v>32640</v>
      </c>
      <c r="J11" s="1" t="s">
        <v>19</v>
      </c>
      <c r="K11">
        <f t="shared" si="0"/>
        <v>0</v>
      </c>
    </row>
    <row r="12" spans="1:11" hidden="1">
      <c r="A12" s="1">
        <v>145</v>
      </c>
      <c r="B12" s="1">
        <v>0</v>
      </c>
      <c r="C12" s="1">
        <v>4</v>
      </c>
      <c r="D12" s="1">
        <v>2</v>
      </c>
      <c r="E12" s="1">
        <v>1</v>
      </c>
      <c r="F12" s="1" t="s">
        <v>11</v>
      </c>
      <c r="G12" s="1" t="s">
        <v>18</v>
      </c>
      <c r="H12" s="1">
        <v>0</v>
      </c>
      <c r="I12" s="1">
        <v>32640</v>
      </c>
      <c r="J12" s="1" t="s">
        <v>19</v>
      </c>
      <c r="K12">
        <f t="shared" si="0"/>
        <v>0</v>
      </c>
    </row>
    <row r="13" spans="1:11" hidden="1">
      <c r="A13" s="1">
        <v>179</v>
      </c>
      <c r="B13" s="1">
        <v>4</v>
      </c>
      <c r="C13" s="1">
        <v>0</v>
      </c>
      <c r="D13" s="1">
        <v>1</v>
      </c>
      <c r="E13" s="1">
        <v>2</v>
      </c>
      <c r="F13" s="1" t="s">
        <v>18</v>
      </c>
      <c r="G13" s="1" t="s">
        <v>11</v>
      </c>
      <c r="H13" s="1">
        <v>32640</v>
      </c>
      <c r="I13" s="1">
        <v>0</v>
      </c>
      <c r="J13" s="1" t="s">
        <v>19</v>
      </c>
      <c r="K13">
        <f t="shared" si="0"/>
        <v>0</v>
      </c>
    </row>
    <row r="14" spans="1:11">
      <c r="A14" s="1">
        <v>102</v>
      </c>
      <c r="B14" s="1">
        <v>2</v>
      </c>
      <c r="C14" s="1">
        <v>0</v>
      </c>
      <c r="D14" s="1">
        <v>1</v>
      </c>
      <c r="E14" s="1">
        <v>1</v>
      </c>
      <c r="F14" s="1" t="s">
        <v>14</v>
      </c>
      <c r="G14" s="1" t="s">
        <v>11</v>
      </c>
      <c r="H14" s="1">
        <v>8355840</v>
      </c>
      <c r="I14" s="1">
        <v>0</v>
      </c>
      <c r="J14" s="1" t="s">
        <v>15</v>
      </c>
      <c r="K14">
        <f t="shared" si="0"/>
        <v>1</v>
      </c>
    </row>
    <row r="15" spans="1:11" hidden="1">
      <c r="A15" s="1">
        <v>110</v>
      </c>
      <c r="B15" s="1">
        <v>0</v>
      </c>
      <c r="C15" s="1">
        <v>2</v>
      </c>
      <c r="D15" s="1">
        <v>1</v>
      </c>
      <c r="E15" s="1">
        <v>1</v>
      </c>
      <c r="F15" s="1" t="s">
        <v>11</v>
      </c>
      <c r="G15" s="1" t="s">
        <v>14</v>
      </c>
      <c r="H15" s="1">
        <v>0</v>
      </c>
      <c r="I15" s="1">
        <v>8355840</v>
      </c>
      <c r="J15" s="1" t="s">
        <v>15</v>
      </c>
      <c r="K15">
        <f t="shared" si="0"/>
        <v>0</v>
      </c>
    </row>
    <row r="16" spans="1:11" hidden="1">
      <c r="A16" s="1">
        <v>135</v>
      </c>
      <c r="B16" s="1">
        <v>0</v>
      </c>
      <c r="C16" s="1">
        <v>2</v>
      </c>
      <c r="D16" s="1">
        <v>2</v>
      </c>
      <c r="E16" s="1">
        <v>1</v>
      </c>
      <c r="F16" s="1" t="s">
        <v>11</v>
      </c>
      <c r="G16" s="1" t="s">
        <v>14</v>
      </c>
      <c r="H16" s="1">
        <v>0</v>
      </c>
      <c r="I16" s="1">
        <v>8355840</v>
      </c>
      <c r="J16" s="1" t="s">
        <v>15</v>
      </c>
      <c r="K16">
        <f t="shared" si="0"/>
        <v>0</v>
      </c>
    </row>
    <row r="17" spans="1:11" hidden="1">
      <c r="A17" s="1">
        <v>177</v>
      </c>
      <c r="B17" s="1">
        <v>2</v>
      </c>
      <c r="C17" s="1">
        <v>0</v>
      </c>
      <c r="D17" s="1">
        <v>1</v>
      </c>
      <c r="E17" s="1">
        <v>2</v>
      </c>
      <c r="F17" s="1" t="s">
        <v>14</v>
      </c>
      <c r="G17" s="1" t="s">
        <v>11</v>
      </c>
      <c r="H17" s="1">
        <v>8355840</v>
      </c>
      <c r="I17" s="1">
        <v>0</v>
      </c>
      <c r="J17" s="1" t="s">
        <v>15</v>
      </c>
      <c r="K17">
        <f t="shared" si="0"/>
        <v>0</v>
      </c>
    </row>
    <row r="18" spans="1:11">
      <c r="A18" s="1">
        <v>103</v>
      </c>
      <c r="B18" s="1">
        <v>3</v>
      </c>
      <c r="C18" s="1">
        <v>0</v>
      </c>
      <c r="D18" s="1">
        <v>1</v>
      </c>
      <c r="E18" s="1">
        <v>1</v>
      </c>
      <c r="F18" s="1" t="s">
        <v>16</v>
      </c>
      <c r="G18" s="1" t="s">
        <v>11</v>
      </c>
      <c r="H18" s="1">
        <v>8355967</v>
      </c>
      <c r="I18" s="1">
        <v>0</v>
      </c>
      <c r="J18" s="1" t="s">
        <v>17</v>
      </c>
      <c r="K18">
        <f t="shared" si="0"/>
        <v>1</v>
      </c>
    </row>
    <row r="19" spans="1:11" hidden="1">
      <c r="A19" s="1">
        <v>107</v>
      </c>
      <c r="B19" s="1">
        <v>2</v>
      </c>
      <c r="C19" s="1">
        <v>1</v>
      </c>
      <c r="D19" s="1">
        <v>1</v>
      </c>
      <c r="E19" s="1">
        <v>1</v>
      </c>
      <c r="F19" s="1" t="s">
        <v>14</v>
      </c>
      <c r="G19" s="1" t="s">
        <v>12</v>
      </c>
      <c r="H19" s="1">
        <v>8355840</v>
      </c>
      <c r="I19" s="1">
        <v>127</v>
      </c>
      <c r="J19" s="1" t="s">
        <v>17</v>
      </c>
      <c r="K19">
        <f t="shared" si="0"/>
        <v>0</v>
      </c>
    </row>
    <row r="20" spans="1:11" hidden="1">
      <c r="A20" s="1">
        <v>111</v>
      </c>
      <c r="B20" s="1">
        <v>1</v>
      </c>
      <c r="C20" s="1">
        <v>2</v>
      </c>
      <c r="D20" s="1">
        <v>1</v>
      </c>
      <c r="E20" s="1">
        <v>1</v>
      </c>
      <c r="F20" s="1" t="s">
        <v>12</v>
      </c>
      <c r="G20" s="1" t="s">
        <v>14</v>
      </c>
      <c r="H20" s="1">
        <v>127</v>
      </c>
      <c r="I20" s="1">
        <v>8355840</v>
      </c>
      <c r="J20" s="1" t="s">
        <v>17</v>
      </c>
      <c r="K20">
        <f t="shared" si="0"/>
        <v>0</v>
      </c>
    </row>
    <row r="21" spans="1:11" hidden="1">
      <c r="A21" s="1">
        <v>115</v>
      </c>
      <c r="B21" s="1">
        <v>0</v>
      </c>
      <c r="C21" s="1">
        <v>3</v>
      </c>
      <c r="D21" s="1">
        <v>1</v>
      </c>
      <c r="E21" s="1">
        <v>1</v>
      </c>
      <c r="F21" s="1" t="s">
        <v>11</v>
      </c>
      <c r="G21" s="1" t="s">
        <v>16</v>
      </c>
      <c r="H21" s="1">
        <v>0</v>
      </c>
      <c r="I21" s="1">
        <v>8355967</v>
      </c>
      <c r="J21" s="1" t="s">
        <v>17</v>
      </c>
      <c r="K21">
        <f t="shared" si="0"/>
        <v>0</v>
      </c>
    </row>
    <row r="22" spans="1:11" hidden="1">
      <c r="A22" s="1">
        <v>140</v>
      </c>
      <c r="B22" s="1">
        <v>0</v>
      </c>
      <c r="C22" s="1">
        <v>3</v>
      </c>
      <c r="D22" s="1">
        <v>2</v>
      </c>
      <c r="E22" s="1">
        <v>1</v>
      </c>
      <c r="F22" s="1" t="s">
        <v>11</v>
      </c>
      <c r="G22" s="1" t="s">
        <v>16</v>
      </c>
      <c r="H22" s="1">
        <v>0</v>
      </c>
      <c r="I22" s="1">
        <v>8355967</v>
      </c>
      <c r="J22" s="1" t="s">
        <v>17</v>
      </c>
      <c r="K22">
        <f t="shared" si="0"/>
        <v>0</v>
      </c>
    </row>
    <row r="23" spans="1:11" hidden="1">
      <c r="A23" s="1">
        <v>178</v>
      </c>
      <c r="B23" s="1">
        <v>3</v>
      </c>
      <c r="C23" s="1">
        <v>0</v>
      </c>
      <c r="D23" s="1">
        <v>1</v>
      </c>
      <c r="E23" s="1">
        <v>2</v>
      </c>
      <c r="F23" s="1" t="s">
        <v>16</v>
      </c>
      <c r="G23" s="1" t="s">
        <v>11</v>
      </c>
      <c r="H23" s="1">
        <v>8355967</v>
      </c>
      <c r="I23" s="1">
        <v>0</v>
      </c>
      <c r="J23" s="1" t="s">
        <v>17</v>
      </c>
      <c r="K23">
        <f t="shared" si="0"/>
        <v>0</v>
      </c>
    </row>
    <row r="24" spans="1:11">
      <c r="A24" s="1">
        <v>108</v>
      </c>
      <c r="B24" s="1">
        <v>3</v>
      </c>
      <c r="C24" s="1">
        <v>1</v>
      </c>
      <c r="D24" s="1">
        <v>1</v>
      </c>
      <c r="E24" s="1">
        <v>1</v>
      </c>
      <c r="F24" s="1" t="s">
        <v>16</v>
      </c>
      <c r="G24" s="1" t="s">
        <v>12</v>
      </c>
      <c r="H24" s="1">
        <v>8355967</v>
      </c>
      <c r="I24" s="1">
        <v>127</v>
      </c>
      <c r="J24" s="1" t="s">
        <v>24</v>
      </c>
      <c r="K24">
        <f t="shared" si="0"/>
        <v>1</v>
      </c>
    </row>
    <row r="25" spans="1:11" hidden="1">
      <c r="A25" s="1">
        <v>116</v>
      </c>
      <c r="B25" s="1">
        <v>1</v>
      </c>
      <c r="C25" s="1">
        <v>3</v>
      </c>
      <c r="D25" s="1">
        <v>1</v>
      </c>
      <c r="E25" s="1">
        <v>1</v>
      </c>
      <c r="F25" s="1" t="s">
        <v>12</v>
      </c>
      <c r="G25" s="1" t="s">
        <v>16</v>
      </c>
      <c r="H25" s="1">
        <v>127</v>
      </c>
      <c r="I25" s="1">
        <v>8355967</v>
      </c>
      <c r="J25" s="1" t="s">
        <v>24</v>
      </c>
      <c r="K25">
        <f t="shared" si="0"/>
        <v>0</v>
      </c>
    </row>
    <row r="26" spans="1:11" hidden="1">
      <c r="A26" s="1">
        <v>136</v>
      </c>
      <c r="B26" s="1">
        <v>1</v>
      </c>
      <c r="C26" s="1">
        <v>2</v>
      </c>
      <c r="D26" s="1">
        <v>2</v>
      </c>
      <c r="E26" s="1">
        <v>1</v>
      </c>
      <c r="F26" s="1" t="s">
        <v>20</v>
      </c>
      <c r="G26" s="1" t="s">
        <v>14</v>
      </c>
      <c r="H26" s="1">
        <v>255</v>
      </c>
      <c r="I26" s="1">
        <v>8355840</v>
      </c>
      <c r="J26" s="1" t="s">
        <v>24</v>
      </c>
      <c r="K26">
        <f t="shared" si="0"/>
        <v>0</v>
      </c>
    </row>
    <row r="27" spans="1:11" hidden="1">
      <c r="A27" s="1">
        <v>182</v>
      </c>
      <c r="B27" s="1">
        <v>2</v>
      </c>
      <c r="C27" s="1">
        <v>1</v>
      </c>
      <c r="D27" s="1">
        <v>1</v>
      </c>
      <c r="E27" s="1">
        <v>2</v>
      </c>
      <c r="F27" s="1" t="s">
        <v>14</v>
      </c>
      <c r="G27" s="1" t="s">
        <v>20</v>
      </c>
      <c r="H27" s="1">
        <v>8355840</v>
      </c>
      <c r="I27" s="1">
        <v>255</v>
      </c>
      <c r="J27" s="1" t="s">
        <v>24</v>
      </c>
      <c r="K27">
        <f t="shared" si="0"/>
        <v>0</v>
      </c>
    </row>
    <row r="28" spans="1:11">
      <c r="A28" s="1">
        <v>141</v>
      </c>
      <c r="B28" s="1">
        <v>1</v>
      </c>
      <c r="C28" s="1">
        <v>3</v>
      </c>
      <c r="D28" s="1">
        <v>2</v>
      </c>
      <c r="E28" s="1">
        <v>1</v>
      </c>
      <c r="F28" s="1" t="s">
        <v>20</v>
      </c>
      <c r="G28" s="1" t="s">
        <v>16</v>
      </c>
      <c r="H28" s="1">
        <v>255</v>
      </c>
      <c r="I28" s="1">
        <v>8355967</v>
      </c>
      <c r="J28" s="1" t="s">
        <v>35</v>
      </c>
      <c r="K28">
        <f t="shared" si="0"/>
        <v>1</v>
      </c>
    </row>
    <row r="29" spans="1:11" hidden="1">
      <c r="A29" s="1">
        <v>183</v>
      </c>
      <c r="B29" s="1">
        <v>3</v>
      </c>
      <c r="C29" s="1">
        <v>1</v>
      </c>
      <c r="D29" s="1">
        <v>1</v>
      </c>
      <c r="E29" s="1">
        <v>2</v>
      </c>
      <c r="F29" s="1" t="s">
        <v>16</v>
      </c>
      <c r="G29" s="1" t="s">
        <v>20</v>
      </c>
      <c r="H29" s="1">
        <v>8355967</v>
      </c>
      <c r="I29" s="1">
        <v>255</v>
      </c>
      <c r="J29" s="1" t="s">
        <v>35</v>
      </c>
      <c r="K29">
        <f t="shared" si="0"/>
        <v>0</v>
      </c>
    </row>
    <row r="30" spans="1:11">
      <c r="A30" s="1">
        <v>109</v>
      </c>
      <c r="B30" s="1">
        <v>4</v>
      </c>
      <c r="C30" s="1">
        <v>1</v>
      </c>
      <c r="D30" s="1">
        <v>1</v>
      </c>
      <c r="E30" s="1">
        <v>1</v>
      </c>
      <c r="F30" s="1" t="s">
        <v>18</v>
      </c>
      <c r="G30" s="1" t="s">
        <v>12</v>
      </c>
      <c r="H30" s="1">
        <v>32640</v>
      </c>
      <c r="I30" s="1">
        <v>127</v>
      </c>
      <c r="J30" s="1" t="s">
        <v>25</v>
      </c>
      <c r="K30">
        <f t="shared" si="0"/>
        <v>1</v>
      </c>
    </row>
    <row r="31" spans="1:11" hidden="1">
      <c r="A31" s="1">
        <v>121</v>
      </c>
      <c r="B31" s="1">
        <v>1</v>
      </c>
      <c r="C31" s="1">
        <v>4</v>
      </c>
      <c r="D31" s="1">
        <v>1</v>
      </c>
      <c r="E31" s="1">
        <v>1</v>
      </c>
      <c r="F31" s="1" t="s">
        <v>12</v>
      </c>
      <c r="G31" s="1" t="s">
        <v>18</v>
      </c>
      <c r="H31" s="1">
        <v>127</v>
      </c>
      <c r="I31" s="1">
        <v>32640</v>
      </c>
      <c r="J31" s="1" t="s">
        <v>25</v>
      </c>
      <c r="K31">
        <f t="shared" si="0"/>
        <v>0</v>
      </c>
    </row>
    <row r="32" spans="1:11">
      <c r="A32" s="1">
        <v>114</v>
      </c>
      <c r="B32" s="1">
        <v>4</v>
      </c>
      <c r="C32" s="1">
        <v>2</v>
      </c>
      <c r="D32" s="1">
        <v>1</v>
      </c>
      <c r="E32" s="1">
        <v>1</v>
      </c>
      <c r="F32" s="1" t="s">
        <v>18</v>
      </c>
      <c r="G32" s="1" t="s">
        <v>14</v>
      </c>
      <c r="H32" s="1">
        <v>32640</v>
      </c>
      <c r="I32" s="1">
        <v>8355840</v>
      </c>
      <c r="J32" s="1" t="s">
        <v>27</v>
      </c>
      <c r="K32">
        <f t="shared" si="0"/>
        <v>1</v>
      </c>
    </row>
    <row r="33" spans="1:11" hidden="1">
      <c r="A33" s="1">
        <v>122</v>
      </c>
      <c r="B33" s="1">
        <v>2</v>
      </c>
      <c r="C33" s="1">
        <v>4</v>
      </c>
      <c r="D33" s="1">
        <v>1</v>
      </c>
      <c r="E33" s="1">
        <v>1</v>
      </c>
      <c r="F33" s="1" t="s">
        <v>14</v>
      </c>
      <c r="G33" s="1" t="s">
        <v>18</v>
      </c>
      <c r="H33" s="1">
        <v>8355840</v>
      </c>
      <c r="I33" s="1">
        <v>32640</v>
      </c>
      <c r="J33" s="1" t="s">
        <v>27</v>
      </c>
      <c r="K33">
        <f t="shared" si="0"/>
        <v>0</v>
      </c>
    </row>
    <row r="34" spans="1:11">
      <c r="A34" s="1">
        <v>119</v>
      </c>
      <c r="B34" s="1">
        <v>4</v>
      </c>
      <c r="C34" s="1">
        <v>3</v>
      </c>
      <c r="D34" s="1">
        <v>1</v>
      </c>
      <c r="E34" s="1">
        <v>1</v>
      </c>
      <c r="F34" s="1" t="s">
        <v>18</v>
      </c>
      <c r="G34" s="1" t="s">
        <v>16</v>
      </c>
      <c r="H34" s="1">
        <v>32640</v>
      </c>
      <c r="I34" s="1">
        <v>8355967</v>
      </c>
      <c r="J34" s="1" t="s">
        <v>28</v>
      </c>
      <c r="K34">
        <f t="shared" si="0"/>
        <v>1</v>
      </c>
    </row>
    <row r="35" spans="1:11" hidden="1">
      <c r="A35" s="1">
        <v>123</v>
      </c>
      <c r="B35" s="1">
        <v>3</v>
      </c>
      <c r="C35" s="1">
        <v>4</v>
      </c>
      <c r="D35" s="1">
        <v>1</v>
      </c>
      <c r="E35" s="1">
        <v>1</v>
      </c>
      <c r="F35" s="1" t="s">
        <v>16</v>
      </c>
      <c r="G35" s="1" t="s">
        <v>18</v>
      </c>
      <c r="H35" s="1">
        <v>8355967</v>
      </c>
      <c r="I35" s="1">
        <v>32640</v>
      </c>
      <c r="J35" s="1" t="s">
        <v>28</v>
      </c>
      <c r="K35">
        <f t="shared" si="0"/>
        <v>0</v>
      </c>
    </row>
    <row r="36" spans="1:11">
      <c r="A36" s="1">
        <v>146</v>
      </c>
      <c r="B36" s="1">
        <v>1</v>
      </c>
      <c r="C36" s="1">
        <v>4</v>
      </c>
      <c r="D36" s="1">
        <v>2</v>
      </c>
      <c r="E36" s="1">
        <v>1</v>
      </c>
      <c r="F36" s="1" t="s">
        <v>20</v>
      </c>
      <c r="G36" s="1" t="s">
        <v>18</v>
      </c>
      <c r="H36" s="1">
        <v>255</v>
      </c>
      <c r="I36" s="1">
        <v>32640</v>
      </c>
      <c r="J36" s="1" t="s">
        <v>39</v>
      </c>
      <c r="K36">
        <f t="shared" si="0"/>
        <v>1</v>
      </c>
    </row>
    <row r="37" spans="1:11" hidden="1">
      <c r="A37" s="1">
        <v>184</v>
      </c>
      <c r="B37" s="1">
        <v>4</v>
      </c>
      <c r="C37" s="1">
        <v>1</v>
      </c>
      <c r="D37" s="1">
        <v>1</v>
      </c>
      <c r="E37" s="1">
        <v>2</v>
      </c>
      <c r="F37" s="1" t="s">
        <v>18</v>
      </c>
      <c r="G37" s="1" t="s">
        <v>20</v>
      </c>
      <c r="H37" s="1">
        <v>32640</v>
      </c>
      <c r="I37" s="1">
        <v>255</v>
      </c>
      <c r="J37" s="1" t="s">
        <v>39</v>
      </c>
      <c r="K37">
        <f t="shared" si="0"/>
        <v>0</v>
      </c>
    </row>
    <row r="38" spans="1:11">
      <c r="A38" s="1">
        <v>139</v>
      </c>
      <c r="B38" s="1">
        <v>4</v>
      </c>
      <c r="C38" s="1">
        <v>2</v>
      </c>
      <c r="D38" s="1">
        <v>2</v>
      </c>
      <c r="E38" s="1">
        <v>1</v>
      </c>
      <c r="F38" s="1" t="s">
        <v>23</v>
      </c>
      <c r="G38" s="1" t="s">
        <v>14</v>
      </c>
      <c r="H38" s="1">
        <v>65280</v>
      </c>
      <c r="I38" s="1">
        <v>8355840</v>
      </c>
      <c r="J38" s="1" t="s">
        <v>34</v>
      </c>
      <c r="K38">
        <f t="shared" si="0"/>
        <v>1</v>
      </c>
    </row>
    <row r="39" spans="1:11" hidden="1">
      <c r="A39" s="1">
        <v>197</v>
      </c>
      <c r="B39" s="1">
        <v>2</v>
      </c>
      <c r="C39" s="1">
        <v>4</v>
      </c>
      <c r="D39" s="1">
        <v>1</v>
      </c>
      <c r="E39" s="1">
        <v>2</v>
      </c>
      <c r="F39" s="1" t="s">
        <v>14</v>
      </c>
      <c r="G39" s="1" t="s">
        <v>23</v>
      </c>
      <c r="H39" s="1">
        <v>8355840</v>
      </c>
      <c r="I39" s="1">
        <v>65280</v>
      </c>
      <c r="J39" s="1" t="s">
        <v>34</v>
      </c>
      <c r="K39">
        <f t="shared" si="0"/>
        <v>0</v>
      </c>
    </row>
    <row r="40" spans="1:11">
      <c r="A40" s="1">
        <v>144</v>
      </c>
      <c r="B40" s="1">
        <v>4</v>
      </c>
      <c r="C40" s="1">
        <v>3</v>
      </c>
      <c r="D40" s="1">
        <v>2</v>
      </c>
      <c r="E40" s="1">
        <v>1</v>
      </c>
      <c r="F40" s="1" t="s">
        <v>23</v>
      </c>
      <c r="G40" s="1" t="s">
        <v>16</v>
      </c>
      <c r="H40" s="1">
        <v>65280</v>
      </c>
      <c r="I40" s="1">
        <v>8355967</v>
      </c>
      <c r="J40" s="1" t="s">
        <v>38</v>
      </c>
      <c r="K40">
        <f t="shared" si="0"/>
        <v>1</v>
      </c>
    </row>
    <row r="41" spans="1:11" hidden="1">
      <c r="A41" s="1">
        <v>198</v>
      </c>
      <c r="B41" s="1">
        <v>3</v>
      </c>
      <c r="C41" s="1">
        <v>4</v>
      </c>
      <c r="D41" s="1">
        <v>1</v>
      </c>
      <c r="E41" s="1">
        <v>2</v>
      </c>
      <c r="F41" s="1" t="s">
        <v>16</v>
      </c>
      <c r="G41" s="1" t="s">
        <v>23</v>
      </c>
      <c r="H41" s="1">
        <v>8355967</v>
      </c>
      <c r="I41" s="1">
        <v>65280</v>
      </c>
      <c r="J41" s="1" t="s">
        <v>38</v>
      </c>
      <c r="K41">
        <f t="shared" si="0"/>
        <v>0</v>
      </c>
    </row>
    <row r="42" spans="1:11">
      <c r="A42" s="1">
        <v>106</v>
      </c>
      <c r="B42" s="1">
        <v>1</v>
      </c>
      <c r="C42" s="1">
        <v>1</v>
      </c>
      <c r="D42" s="1">
        <v>1</v>
      </c>
      <c r="E42" s="1">
        <v>1</v>
      </c>
      <c r="F42" s="1" t="s">
        <v>12</v>
      </c>
      <c r="G42" s="1" t="s">
        <v>12</v>
      </c>
      <c r="H42" s="1">
        <v>127</v>
      </c>
      <c r="I42" s="1">
        <v>127</v>
      </c>
      <c r="J42" s="1" t="s">
        <v>12</v>
      </c>
      <c r="K42">
        <f t="shared" si="0"/>
        <v>1</v>
      </c>
    </row>
    <row r="43" spans="1:11" hidden="1">
      <c r="A43" s="1">
        <v>126</v>
      </c>
      <c r="B43" s="1">
        <v>1</v>
      </c>
      <c r="C43" s="1">
        <v>0</v>
      </c>
      <c r="D43" s="1">
        <v>2</v>
      </c>
      <c r="E43" s="1">
        <v>1</v>
      </c>
      <c r="F43" s="1" t="s">
        <v>20</v>
      </c>
      <c r="G43" s="1" t="s">
        <v>11</v>
      </c>
      <c r="H43" s="1">
        <v>255</v>
      </c>
      <c r="I43" s="1">
        <v>0</v>
      </c>
      <c r="J43" s="1" t="s">
        <v>12</v>
      </c>
      <c r="K43">
        <f t="shared" si="0"/>
        <v>0</v>
      </c>
    </row>
    <row r="44" spans="1:11" hidden="1">
      <c r="A44" s="1">
        <v>180</v>
      </c>
      <c r="B44" s="1">
        <v>0</v>
      </c>
      <c r="C44" s="1">
        <v>1</v>
      </c>
      <c r="D44" s="1">
        <v>1</v>
      </c>
      <c r="E44" s="1">
        <v>2</v>
      </c>
      <c r="F44" s="1" t="s">
        <v>11</v>
      </c>
      <c r="G44" s="1" t="s">
        <v>20</v>
      </c>
      <c r="H44" s="1">
        <v>0</v>
      </c>
      <c r="I44" s="1">
        <v>255</v>
      </c>
      <c r="J44" s="1" t="s">
        <v>12</v>
      </c>
      <c r="K44">
        <f t="shared" si="0"/>
        <v>0</v>
      </c>
    </row>
    <row r="45" spans="1:11" hidden="1">
      <c r="A45" s="1">
        <v>201</v>
      </c>
      <c r="B45" s="1">
        <v>1</v>
      </c>
      <c r="C45" s="1">
        <v>0</v>
      </c>
      <c r="D45" s="1">
        <v>2</v>
      </c>
      <c r="E45" s="1">
        <v>2</v>
      </c>
      <c r="F45" s="1" t="s">
        <v>20</v>
      </c>
      <c r="G45" s="1" t="s">
        <v>11</v>
      </c>
      <c r="H45" s="1">
        <v>255</v>
      </c>
      <c r="I45" s="1">
        <v>0</v>
      </c>
      <c r="J45" s="1" t="s">
        <v>12</v>
      </c>
      <c r="K45">
        <f t="shared" si="0"/>
        <v>0</v>
      </c>
    </row>
    <row r="46" spans="1:11" hidden="1">
      <c r="A46" s="1">
        <v>205</v>
      </c>
      <c r="B46" s="1">
        <v>0</v>
      </c>
      <c r="C46" s="1">
        <v>1</v>
      </c>
      <c r="D46" s="1">
        <v>2</v>
      </c>
      <c r="E46" s="1">
        <v>2</v>
      </c>
      <c r="F46" s="1" t="s">
        <v>11</v>
      </c>
      <c r="G46" s="1" t="s">
        <v>20</v>
      </c>
      <c r="H46" s="1">
        <v>0</v>
      </c>
      <c r="I46" s="1">
        <v>255</v>
      </c>
      <c r="J46" s="1" t="s">
        <v>12</v>
      </c>
      <c r="K46">
        <f t="shared" si="0"/>
        <v>0</v>
      </c>
    </row>
    <row r="47" spans="1:11">
      <c r="A47" s="1">
        <v>124</v>
      </c>
      <c r="B47" s="1">
        <v>4</v>
      </c>
      <c r="C47" s="1">
        <v>4</v>
      </c>
      <c r="D47" s="1">
        <v>1</v>
      </c>
      <c r="E47" s="1">
        <v>1</v>
      </c>
      <c r="F47" s="1" t="s">
        <v>18</v>
      </c>
      <c r="G47" s="1" t="s">
        <v>18</v>
      </c>
      <c r="H47" s="1">
        <v>32640</v>
      </c>
      <c r="I47" s="1">
        <v>32640</v>
      </c>
      <c r="J47" s="1" t="s">
        <v>18</v>
      </c>
      <c r="K47">
        <f t="shared" si="0"/>
        <v>1</v>
      </c>
    </row>
    <row r="48" spans="1:11" hidden="1">
      <c r="A48" s="1">
        <v>129</v>
      </c>
      <c r="B48" s="1">
        <v>4</v>
      </c>
      <c r="C48" s="1">
        <v>0</v>
      </c>
      <c r="D48" s="1">
        <v>2</v>
      </c>
      <c r="E48" s="1">
        <v>1</v>
      </c>
      <c r="F48" s="1" t="s">
        <v>23</v>
      </c>
      <c r="G48" s="1" t="s">
        <v>11</v>
      </c>
      <c r="H48" s="1">
        <v>65280</v>
      </c>
      <c r="I48" s="1">
        <v>0</v>
      </c>
      <c r="J48" s="1" t="s">
        <v>18</v>
      </c>
      <c r="K48">
        <f t="shared" si="0"/>
        <v>0</v>
      </c>
    </row>
    <row r="49" spans="1:11" hidden="1">
      <c r="A49" s="1">
        <v>195</v>
      </c>
      <c r="B49" s="1">
        <v>0</v>
      </c>
      <c r="C49" s="1">
        <v>4</v>
      </c>
      <c r="D49" s="1">
        <v>1</v>
      </c>
      <c r="E49" s="1">
        <v>2</v>
      </c>
      <c r="F49" s="1" t="s">
        <v>11</v>
      </c>
      <c r="G49" s="1" t="s">
        <v>23</v>
      </c>
      <c r="H49" s="1">
        <v>0</v>
      </c>
      <c r="I49" s="1">
        <v>65280</v>
      </c>
      <c r="J49" s="1" t="s">
        <v>18</v>
      </c>
      <c r="K49">
        <f t="shared" si="0"/>
        <v>0</v>
      </c>
    </row>
    <row r="50" spans="1:11" hidden="1">
      <c r="A50" s="1">
        <v>204</v>
      </c>
      <c r="B50" s="1">
        <v>4</v>
      </c>
      <c r="C50" s="1">
        <v>0</v>
      </c>
      <c r="D50" s="1">
        <v>2</v>
      </c>
      <c r="E50" s="1">
        <v>2</v>
      </c>
      <c r="F50" s="1" t="s">
        <v>23</v>
      </c>
      <c r="G50" s="1" t="s">
        <v>11</v>
      </c>
      <c r="H50" s="1">
        <v>65280</v>
      </c>
      <c r="I50" s="1">
        <v>0</v>
      </c>
      <c r="J50" s="1" t="s">
        <v>18</v>
      </c>
      <c r="K50">
        <f t="shared" si="0"/>
        <v>0</v>
      </c>
    </row>
    <row r="51" spans="1:11" hidden="1">
      <c r="A51" s="1">
        <v>220</v>
      </c>
      <c r="B51" s="1">
        <v>0</v>
      </c>
      <c r="C51" s="1">
        <v>4</v>
      </c>
      <c r="D51" s="1">
        <v>2</v>
      </c>
      <c r="E51" s="1">
        <v>2</v>
      </c>
      <c r="F51" s="1" t="s">
        <v>11</v>
      </c>
      <c r="G51" s="1" t="s">
        <v>23</v>
      </c>
      <c r="H51" s="1">
        <v>0</v>
      </c>
      <c r="I51" s="1">
        <v>65280</v>
      </c>
      <c r="J51" s="1" t="s">
        <v>18</v>
      </c>
      <c r="K51">
        <f t="shared" si="0"/>
        <v>0</v>
      </c>
    </row>
    <row r="52" spans="1:11">
      <c r="A52" s="1">
        <v>112</v>
      </c>
      <c r="B52" s="1">
        <v>2</v>
      </c>
      <c r="C52" s="1">
        <v>2</v>
      </c>
      <c r="D52" s="1">
        <v>1</v>
      </c>
      <c r="E52" s="1">
        <v>1</v>
      </c>
      <c r="F52" s="1" t="s">
        <v>14</v>
      </c>
      <c r="G52" s="1" t="s">
        <v>14</v>
      </c>
      <c r="H52" s="1">
        <v>8355840</v>
      </c>
      <c r="I52" s="1">
        <v>8355840</v>
      </c>
      <c r="J52" s="1" t="s">
        <v>14</v>
      </c>
      <c r="K52">
        <f t="shared" si="0"/>
        <v>1</v>
      </c>
    </row>
    <row r="53" spans="1:11" hidden="1">
      <c r="A53" s="1">
        <v>127</v>
      </c>
      <c r="B53" s="1">
        <v>2</v>
      </c>
      <c r="C53" s="1">
        <v>0</v>
      </c>
      <c r="D53" s="1">
        <v>2</v>
      </c>
      <c r="E53" s="1">
        <v>1</v>
      </c>
      <c r="F53" s="1" t="s">
        <v>21</v>
      </c>
      <c r="G53" s="1" t="s">
        <v>11</v>
      </c>
      <c r="H53" s="1">
        <v>16711680</v>
      </c>
      <c r="I53" s="1">
        <v>0</v>
      </c>
      <c r="J53" s="1" t="s">
        <v>14</v>
      </c>
      <c r="K53">
        <f t="shared" si="0"/>
        <v>0</v>
      </c>
    </row>
    <row r="54" spans="1:11" hidden="1">
      <c r="A54" s="1">
        <v>185</v>
      </c>
      <c r="B54" s="1">
        <v>0</v>
      </c>
      <c r="C54" s="1">
        <v>2</v>
      </c>
      <c r="D54" s="1">
        <v>1</v>
      </c>
      <c r="E54" s="1">
        <v>2</v>
      </c>
      <c r="F54" s="1" t="s">
        <v>11</v>
      </c>
      <c r="G54" s="1" t="s">
        <v>21</v>
      </c>
      <c r="H54" s="1">
        <v>0</v>
      </c>
      <c r="I54" s="1">
        <v>16711680</v>
      </c>
      <c r="J54" s="1" t="s">
        <v>14</v>
      </c>
      <c r="K54">
        <f t="shared" si="0"/>
        <v>0</v>
      </c>
    </row>
    <row r="55" spans="1:11" hidden="1">
      <c r="A55" s="1">
        <v>202</v>
      </c>
      <c r="B55" s="1">
        <v>2</v>
      </c>
      <c r="C55" s="1">
        <v>0</v>
      </c>
      <c r="D55" s="1">
        <v>2</v>
      </c>
      <c r="E55" s="1">
        <v>2</v>
      </c>
      <c r="F55" s="1" t="s">
        <v>21</v>
      </c>
      <c r="G55" s="1" t="s">
        <v>11</v>
      </c>
      <c r="H55" s="1">
        <v>16711680</v>
      </c>
      <c r="I55" s="1">
        <v>0</v>
      </c>
      <c r="J55" s="1" t="s">
        <v>14</v>
      </c>
      <c r="K55">
        <f t="shared" si="0"/>
        <v>0</v>
      </c>
    </row>
    <row r="56" spans="1:11" hidden="1">
      <c r="A56" s="1">
        <v>210</v>
      </c>
      <c r="B56" s="1">
        <v>0</v>
      </c>
      <c r="C56" s="1">
        <v>2</v>
      </c>
      <c r="D56" s="1">
        <v>2</v>
      </c>
      <c r="E56" s="1">
        <v>2</v>
      </c>
      <c r="F56" s="1" t="s">
        <v>11</v>
      </c>
      <c r="G56" s="1" t="s">
        <v>21</v>
      </c>
      <c r="H56" s="1">
        <v>0</v>
      </c>
      <c r="I56" s="1">
        <v>16711680</v>
      </c>
      <c r="J56" s="1" t="s">
        <v>14</v>
      </c>
      <c r="K56">
        <f t="shared" si="0"/>
        <v>0</v>
      </c>
    </row>
    <row r="57" spans="1:11">
      <c r="A57" s="1">
        <v>113</v>
      </c>
      <c r="B57" s="1">
        <v>3</v>
      </c>
      <c r="C57" s="1">
        <v>2</v>
      </c>
      <c r="D57" s="1">
        <v>1</v>
      </c>
      <c r="E57" s="1">
        <v>1</v>
      </c>
      <c r="F57" s="1" t="s">
        <v>16</v>
      </c>
      <c r="G57" s="1" t="s">
        <v>14</v>
      </c>
      <c r="H57" s="1">
        <v>8355967</v>
      </c>
      <c r="I57" s="1">
        <v>8355840</v>
      </c>
      <c r="J57" s="1" t="s">
        <v>26</v>
      </c>
      <c r="K57">
        <f t="shared" si="0"/>
        <v>1</v>
      </c>
    </row>
    <row r="58" spans="1:11" hidden="1">
      <c r="A58" s="1">
        <v>117</v>
      </c>
      <c r="B58" s="1">
        <v>2</v>
      </c>
      <c r="C58" s="1">
        <v>3</v>
      </c>
      <c r="D58" s="1">
        <v>1</v>
      </c>
      <c r="E58" s="1">
        <v>1</v>
      </c>
      <c r="F58" s="1" t="s">
        <v>14</v>
      </c>
      <c r="G58" s="1" t="s">
        <v>16</v>
      </c>
      <c r="H58" s="1">
        <v>8355840</v>
      </c>
      <c r="I58" s="1">
        <v>8355967</v>
      </c>
      <c r="J58" s="1" t="s">
        <v>26</v>
      </c>
      <c r="K58">
        <f t="shared" si="0"/>
        <v>0</v>
      </c>
    </row>
    <row r="59" spans="1:11" hidden="1">
      <c r="A59" s="1">
        <v>132</v>
      </c>
      <c r="B59" s="1">
        <v>2</v>
      </c>
      <c r="C59" s="1">
        <v>1</v>
      </c>
      <c r="D59" s="1">
        <v>2</v>
      </c>
      <c r="E59" s="1">
        <v>1</v>
      </c>
      <c r="F59" s="1" t="s">
        <v>21</v>
      </c>
      <c r="G59" s="1" t="s">
        <v>12</v>
      </c>
      <c r="H59" s="1">
        <v>16711680</v>
      </c>
      <c r="I59" s="1">
        <v>127</v>
      </c>
      <c r="J59" s="1" t="s">
        <v>26</v>
      </c>
      <c r="K59">
        <f t="shared" si="0"/>
        <v>0</v>
      </c>
    </row>
    <row r="60" spans="1:11" hidden="1">
      <c r="A60" s="1">
        <v>186</v>
      </c>
      <c r="B60" s="1">
        <v>1</v>
      </c>
      <c r="C60" s="1">
        <v>2</v>
      </c>
      <c r="D60" s="1">
        <v>1</v>
      </c>
      <c r="E60" s="1">
        <v>2</v>
      </c>
      <c r="F60" s="1" t="s">
        <v>12</v>
      </c>
      <c r="G60" s="1" t="s">
        <v>21</v>
      </c>
      <c r="H60" s="1">
        <v>127</v>
      </c>
      <c r="I60" s="1">
        <v>16711680</v>
      </c>
      <c r="J60" s="1" t="s">
        <v>26</v>
      </c>
      <c r="K60">
        <f t="shared" si="0"/>
        <v>0</v>
      </c>
    </row>
    <row r="61" spans="1:11">
      <c r="A61" s="1">
        <v>118</v>
      </c>
      <c r="B61" s="1">
        <v>3</v>
      </c>
      <c r="C61" s="1">
        <v>3</v>
      </c>
      <c r="D61" s="1">
        <v>1</v>
      </c>
      <c r="E61" s="1">
        <v>1</v>
      </c>
      <c r="F61" s="1" t="s">
        <v>16</v>
      </c>
      <c r="G61" s="1" t="s">
        <v>16</v>
      </c>
      <c r="H61" s="1">
        <v>8355967</v>
      </c>
      <c r="I61" s="1">
        <v>8355967</v>
      </c>
      <c r="J61" s="1" t="s">
        <v>16</v>
      </c>
      <c r="K61">
        <f t="shared" si="0"/>
        <v>1</v>
      </c>
    </row>
    <row r="62" spans="1:11" hidden="1">
      <c r="A62" s="1">
        <v>128</v>
      </c>
      <c r="B62" s="1">
        <v>3</v>
      </c>
      <c r="C62" s="1">
        <v>0</v>
      </c>
      <c r="D62" s="1">
        <v>2</v>
      </c>
      <c r="E62" s="1">
        <v>1</v>
      </c>
      <c r="F62" s="1" t="s">
        <v>22</v>
      </c>
      <c r="G62" s="1" t="s">
        <v>11</v>
      </c>
      <c r="H62" s="1">
        <v>16711935</v>
      </c>
      <c r="I62" s="1">
        <v>0</v>
      </c>
      <c r="J62" s="1" t="s">
        <v>16</v>
      </c>
      <c r="K62">
        <f t="shared" si="0"/>
        <v>0</v>
      </c>
    </row>
    <row r="63" spans="1:11" hidden="1">
      <c r="A63" s="1">
        <v>190</v>
      </c>
      <c r="B63" s="1">
        <v>0</v>
      </c>
      <c r="C63" s="1">
        <v>3</v>
      </c>
      <c r="D63" s="1">
        <v>1</v>
      </c>
      <c r="E63" s="1">
        <v>2</v>
      </c>
      <c r="F63" s="1" t="s">
        <v>11</v>
      </c>
      <c r="G63" s="1" t="s">
        <v>22</v>
      </c>
      <c r="H63" s="1">
        <v>0</v>
      </c>
      <c r="I63" s="1">
        <v>16711935</v>
      </c>
      <c r="J63" s="1" t="s">
        <v>16</v>
      </c>
      <c r="K63">
        <f t="shared" si="0"/>
        <v>0</v>
      </c>
    </row>
    <row r="64" spans="1:11" hidden="1">
      <c r="A64" s="1">
        <v>203</v>
      </c>
      <c r="B64" s="1">
        <v>3</v>
      </c>
      <c r="C64" s="1">
        <v>0</v>
      </c>
      <c r="D64" s="1">
        <v>2</v>
      </c>
      <c r="E64" s="1">
        <v>2</v>
      </c>
      <c r="F64" s="1" t="s">
        <v>22</v>
      </c>
      <c r="G64" s="1" t="s">
        <v>11</v>
      </c>
      <c r="H64" s="1">
        <v>16711935</v>
      </c>
      <c r="I64" s="1">
        <v>0</v>
      </c>
      <c r="J64" s="1" t="s">
        <v>16</v>
      </c>
      <c r="K64">
        <f t="shared" si="0"/>
        <v>0</v>
      </c>
    </row>
    <row r="65" spans="1:11" hidden="1">
      <c r="A65" s="1">
        <v>207</v>
      </c>
      <c r="B65" s="1">
        <v>2</v>
      </c>
      <c r="C65" s="1">
        <v>1</v>
      </c>
      <c r="D65" s="1">
        <v>2</v>
      </c>
      <c r="E65" s="1">
        <v>2</v>
      </c>
      <c r="F65" s="1" t="s">
        <v>21</v>
      </c>
      <c r="G65" s="1" t="s">
        <v>20</v>
      </c>
      <c r="H65" s="1">
        <v>16711680</v>
      </c>
      <c r="I65" s="1">
        <v>255</v>
      </c>
      <c r="J65" s="1" t="s">
        <v>16</v>
      </c>
      <c r="K65">
        <f t="shared" si="0"/>
        <v>0</v>
      </c>
    </row>
    <row r="66" spans="1:11" hidden="1">
      <c r="A66" s="1">
        <v>211</v>
      </c>
      <c r="B66" s="1">
        <v>1</v>
      </c>
      <c r="C66" s="1">
        <v>2</v>
      </c>
      <c r="D66" s="1">
        <v>2</v>
      </c>
      <c r="E66" s="1">
        <v>2</v>
      </c>
      <c r="F66" s="1" t="s">
        <v>20</v>
      </c>
      <c r="G66" s="1" t="s">
        <v>21</v>
      </c>
      <c r="H66" s="1">
        <v>255</v>
      </c>
      <c r="I66" s="1">
        <v>16711680</v>
      </c>
      <c r="J66" s="1" t="s">
        <v>16</v>
      </c>
      <c r="K66">
        <f t="shared" si="0"/>
        <v>0</v>
      </c>
    </row>
    <row r="67" spans="1:11" hidden="1">
      <c r="A67" s="1">
        <v>215</v>
      </c>
      <c r="B67" s="1">
        <v>0</v>
      </c>
      <c r="C67" s="1">
        <v>3</v>
      </c>
      <c r="D67" s="1">
        <v>2</v>
      </c>
      <c r="E67" s="1">
        <v>2</v>
      </c>
      <c r="F67" s="1" t="s">
        <v>11</v>
      </c>
      <c r="G67" s="1" t="s">
        <v>22</v>
      </c>
      <c r="H67" s="1">
        <v>0</v>
      </c>
      <c r="I67" s="1">
        <v>16711935</v>
      </c>
      <c r="J67" s="1" t="s">
        <v>16</v>
      </c>
      <c r="K67">
        <f t="shared" ref="K67:K101" si="1">INT(J67&lt;&gt;J66)</f>
        <v>0</v>
      </c>
    </row>
    <row r="68" spans="1:11">
      <c r="A68" s="1">
        <v>133</v>
      </c>
      <c r="B68" s="1">
        <v>3</v>
      </c>
      <c r="C68" s="1">
        <v>1</v>
      </c>
      <c r="D68" s="1">
        <v>2</v>
      </c>
      <c r="E68" s="1">
        <v>1</v>
      </c>
      <c r="F68" s="1" t="s">
        <v>22</v>
      </c>
      <c r="G68" s="1" t="s">
        <v>12</v>
      </c>
      <c r="H68" s="1">
        <v>16711935</v>
      </c>
      <c r="I68" s="1">
        <v>127</v>
      </c>
      <c r="J68" s="1" t="s">
        <v>30</v>
      </c>
      <c r="K68">
        <f t="shared" si="1"/>
        <v>1</v>
      </c>
    </row>
    <row r="69" spans="1:11" hidden="1">
      <c r="A69" s="1">
        <v>191</v>
      </c>
      <c r="B69" s="1">
        <v>1</v>
      </c>
      <c r="C69" s="1">
        <v>3</v>
      </c>
      <c r="D69" s="1">
        <v>1</v>
      </c>
      <c r="E69" s="1">
        <v>2</v>
      </c>
      <c r="F69" s="1" t="s">
        <v>12</v>
      </c>
      <c r="G69" s="1" t="s">
        <v>22</v>
      </c>
      <c r="H69" s="1">
        <v>127</v>
      </c>
      <c r="I69" s="1">
        <v>16711935</v>
      </c>
      <c r="J69" s="1" t="s">
        <v>30</v>
      </c>
      <c r="K69">
        <f t="shared" si="1"/>
        <v>0</v>
      </c>
    </row>
    <row r="70" spans="1:11">
      <c r="A70" s="1">
        <v>208</v>
      </c>
      <c r="B70" s="1">
        <v>3</v>
      </c>
      <c r="C70" s="1">
        <v>1</v>
      </c>
      <c r="D70" s="1">
        <v>2</v>
      </c>
      <c r="E70" s="1">
        <v>2</v>
      </c>
      <c r="F70" s="1" t="s">
        <v>22</v>
      </c>
      <c r="G70" s="1" t="s">
        <v>20</v>
      </c>
      <c r="H70" s="1">
        <v>16711935</v>
      </c>
      <c r="I70" s="1">
        <v>255</v>
      </c>
      <c r="J70" s="1" t="s">
        <v>43</v>
      </c>
      <c r="K70">
        <f t="shared" si="1"/>
        <v>1</v>
      </c>
    </row>
    <row r="71" spans="1:11" hidden="1">
      <c r="A71" s="1">
        <v>216</v>
      </c>
      <c r="B71" s="1">
        <v>1</v>
      </c>
      <c r="C71" s="1">
        <v>3</v>
      </c>
      <c r="D71" s="1">
        <v>2</v>
      </c>
      <c r="E71" s="1">
        <v>2</v>
      </c>
      <c r="F71" s="1" t="s">
        <v>20</v>
      </c>
      <c r="G71" s="1" t="s">
        <v>22</v>
      </c>
      <c r="H71" s="1">
        <v>255</v>
      </c>
      <c r="I71" s="1">
        <v>16711935</v>
      </c>
      <c r="J71" s="1" t="s">
        <v>43</v>
      </c>
      <c r="K71">
        <f t="shared" si="1"/>
        <v>0</v>
      </c>
    </row>
    <row r="72" spans="1:11">
      <c r="A72" s="1">
        <v>134</v>
      </c>
      <c r="B72" s="1">
        <v>4</v>
      </c>
      <c r="C72" s="1">
        <v>1</v>
      </c>
      <c r="D72" s="1">
        <v>2</v>
      </c>
      <c r="E72" s="1">
        <v>1</v>
      </c>
      <c r="F72" s="1" t="s">
        <v>23</v>
      </c>
      <c r="G72" s="1" t="s">
        <v>12</v>
      </c>
      <c r="H72" s="1">
        <v>65280</v>
      </c>
      <c r="I72" s="1">
        <v>127</v>
      </c>
      <c r="J72" s="1" t="s">
        <v>31</v>
      </c>
      <c r="K72">
        <f t="shared" si="1"/>
        <v>1</v>
      </c>
    </row>
    <row r="73" spans="1:11" hidden="1">
      <c r="A73" s="1">
        <v>196</v>
      </c>
      <c r="B73" s="1">
        <v>1</v>
      </c>
      <c r="C73" s="1">
        <v>4</v>
      </c>
      <c r="D73" s="1">
        <v>1</v>
      </c>
      <c r="E73" s="1">
        <v>2</v>
      </c>
      <c r="F73" s="1" t="s">
        <v>12</v>
      </c>
      <c r="G73" s="1" t="s">
        <v>23</v>
      </c>
      <c r="H73" s="1">
        <v>127</v>
      </c>
      <c r="I73" s="1">
        <v>65280</v>
      </c>
      <c r="J73" s="1" t="s">
        <v>31</v>
      </c>
      <c r="K73">
        <f t="shared" si="1"/>
        <v>0</v>
      </c>
    </row>
    <row r="74" spans="1:11">
      <c r="A74" s="1">
        <v>147</v>
      </c>
      <c r="B74" s="1">
        <v>2</v>
      </c>
      <c r="C74" s="1">
        <v>4</v>
      </c>
      <c r="D74" s="1">
        <v>2</v>
      </c>
      <c r="E74" s="1">
        <v>1</v>
      </c>
      <c r="F74" s="1" t="s">
        <v>21</v>
      </c>
      <c r="G74" s="1" t="s">
        <v>18</v>
      </c>
      <c r="H74" s="1">
        <v>16711680</v>
      </c>
      <c r="I74" s="1">
        <v>32640</v>
      </c>
      <c r="J74" s="1" t="s">
        <v>40</v>
      </c>
      <c r="K74">
        <f t="shared" si="1"/>
        <v>1</v>
      </c>
    </row>
    <row r="75" spans="1:11" hidden="1">
      <c r="A75" s="1">
        <v>189</v>
      </c>
      <c r="B75" s="1">
        <v>4</v>
      </c>
      <c r="C75" s="1">
        <v>2</v>
      </c>
      <c r="D75" s="1">
        <v>1</v>
      </c>
      <c r="E75" s="1">
        <v>2</v>
      </c>
      <c r="F75" s="1" t="s">
        <v>18</v>
      </c>
      <c r="G75" s="1" t="s">
        <v>21</v>
      </c>
      <c r="H75" s="1">
        <v>32640</v>
      </c>
      <c r="I75" s="1">
        <v>16711680</v>
      </c>
      <c r="J75" s="1" t="s">
        <v>40</v>
      </c>
      <c r="K75">
        <f t="shared" si="1"/>
        <v>0</v>
      </c>
    </row>
    <row r="76" spans="1:11">
      <c r="A76" s="1">
        <v>148</v>
      </c>
      <c r="B76" s="1">
        <v>3</v>
      </c>
      <c r="C76" s="1">
        <v>4</v>
      </c>
      <c r="D76" s="1">
        <v>2</v>
      </c>
      <c r="E76" s="1">
        <v>1</v>
      </c>
      <c r="F76" s="1" t="s">
        <v>22</v>
      </c>
      <c r="G76" s="1" t="s">
        <v>18</v>
      </c>
      <c r="H76" s="1">
        <v>16711935</v>
      </c>
      <c r="I76" s="1">
        <v>32640</v>
      </c>
      <c r="J76" s="1" t="s">
        <v>41</v>
      </c>
      <c r="K76">
        <f t="shared" si="1"/>
        <v>1</v>
      </c>
    </row>
    <row r="77" spans="1:11" hidden="1">
      <c r="A77" s="1">
        <v>194</v>
      </c>
      <c r="B77" s="1">
        <v>4</v>
      </c>
      <c r="C77" s="1">
        <v>3</v>
      </c>
      <c r="D77" s="1">
        <v>1</v>
      </c>
      <c r="E77" s="1">
        <v>2</v>
      </c>
      <c r="F77" s="1" t="s">
        <v>18</v>
      </c>
      <c r="G77" s="1" t="s">
        <v>22</v>
      </c>
      <c r="H77" s="1">
        <v>32640</v>
      </c>
      <c r="I77" s="1">
        <v>16711935</v>
      </c>
      <c r="J77" s="1" t="s">
        <v>41</v>
      </c>
      <c r="K77">
        <f t="shared" si="1"/>
        <v>0</v>
      </c>
    </row>
    <row r="78" spans="1:11">
      <c r="A78" s="1">
        <v>209</v>
      </c>
      <c r="B78" s="1">
        <v>4</v>
      </c>
      <c r="C78" s="1">
        <v>1</v>
      </c>
      <c r="D78" s="1">
        <v>2</v>
      </c>
      <c r="E78" s="1">
        <v>2</v>
      </c>
      <c r="F78" s="1" t="s">
        <v>23</v>
      </c>
      <c r="G78" s="1" t="s">
        <v>20</v>
      </c>
      <c r="H78" s="1">
        <v>65280</v>
      </c>
      <c r="I78" s="1">
        <v>255</v>
      </c>
      <c r="J78" s="1" t="s">
        <v>44</v>
      </c>
      <c r="K78">
        <f t="shared" si="1"/>
        <v>1</v>
      </c>
    </row>
    <row r="79" spans="1:11" hidden="1">
      <c r="A79" s="1">
        <v>221</v>
      </c>
      <c r="B79" s="1">
        <v>1</v>
      </c>
      <c r="C79" s="1">
        <v>4</v>
      </c>
      <c r="D79" s="1">
        <v>2</v>
      </c>
      <c r="E79" s="1">
        <v>2</v>
      </c>
      <c r="F79" s="1" t="s">
        <v>20</v>
      </c>
      <c r="G79" s="1" t="s">
        <v>23</v>
      </c>
      <c r="H79" s="1">
        <v>255</v>
      </c>
      <c r="I79" s="1">
        <v>65280</v>
      </c>
      <c r="J79" s="1" t="s">
        <v>44</v>
      </c>
      <c r="K79">
        <f t="shared" si="1"/>
        <v>0</v>
      </c>
    </row>
    <row r="80" spans="1:11">
      <c r="A80" s="1">
        <v>214</v>
      </c>
      <c r="B80" s="1">
        <v>4</v>
      </c>
      <c r="C80" s="1">
        <v>2</v>
      </c>
      <c r="D80" s="1">
        <v>2</v>
      </c>
      <c r="E80" s="1">
        <v>2</v>
      </c>
      <c r="F80" s="1" t="s">
        <v>23</v>
      </c>
      <c r="G80" s="1" t="s">
        <v>21</v>
      </c>
      <c r="H80" s="1">
        <v>65280</v>
      </c>
      <c r="I80" s="1">
        <v>16711680</v>
      </c>
      <c r="J80" s="1" t="s">
        <v>46</v>
      </c>
      <c r="K80">
        <f t="shared" si="1"/>
        <v>1</v>
      </c>
    </row>
    <row r="81" spans="1:11" hidden="1">
      <c r="A81" s="1">
        <v>222</v>
      </c>
      <c r="B81" s="1">
        <v>2</v>
      </c>
      <c r="C81" s="1">
        <v>4</v>
      </c>
      <c r="D81" s="1">
        <v>2</v>
      </c>
      <c r="E81" s="1">
        <v>2</v>
      </c>
      <c r="F81" s="1" t="s">
        <v>21</v>
      </c>
      <c r="G81" s="1" t="s">
        <v>23</v>
      </c>
      <c r="H81" s="1">
        <v>16711680</v>
      </c>
      <c r="I81" s="1">
        <v>65280</v>
      </c>
      <c r="J81" s="1" t="s">
        <v>46</v>
      </c>
      <c r="K81">
        <f t="shared" si="1"/>
        <v>0</v>
      </c>
    </row>
    <row r="82" spans="1:11">
      <c r="A82" s="1">
        <v>219</v>
      </c>
      <c r="B82" s="1">
        <v>4</v>
      </c>
      <c r="C82" s="1">
        <v>3</v>
      </c>
      <c r="D82" s="1">
        <v>2</v>
      </c>
      <c r="E82" s="1">
        <v>2</v>
      </c>
      <c r="F82" s="1" t="s">
        <v>23</v>
      </c>
      <c r="G82" s="1" t="s">
        <v>22</v>
      </c>
      <c r="H82" s="1">
        <v>65280</v>
      </c>
      <c r="I82" s="1">
        <v>16711935</v>
      </c>
      <c r="J82" s="1" t="s">
        <v>47</v>
      </c>
      <c r="K82">
        <f t="shared" si="1"/>
        <v>1</v>
      </c>
    </row>
    <row r="83" spans="1:11" hidden="1">
      <c r="A83" s="1">
        <v>223</v>
      </c>
      <c r="B83" s="1">
        <v>3</v>
      </c>
      <c r="C83" s="1">
        <v>4</v>
      </c>
      <c r="D83" s="1">
        <v>2</v>
      </c>
      <c r="E83" s="1">
        <v>2</v>
      </c>
      <c r="F83" s="1" t="s">
        <v>22</v>
      </c>
      <c r="G83" s="1" t="s">
        <v>23</v>
      </c>
      <c r="H83" s="1">
        <v>16711935</v>
      </c>
      <c r="I83" s="1">
        <v>65280</v>
      </c>
      <c r="J83" s="1" t="s">
        <v>47</v>
      </c>
      <c r="K83">
        <f t="shared" si="1"/>
        <v>0</v>
      </c>
    </row>
    <row r="84" spans="1:11">
      <c r="A84" s="1">
        <v>131</v>
      </c>
      <c r="B84" s="1">
        <v>1</v>
      </c>
      <c r="C84" s="1">
        <v>1</v>
      </c>
      <c r="D84" s="1">
        <v>2</v>
      </c>
      <c r="E84" s="1">
        <v>1</v>
      </c>
      <c r="F84" s="1" t="s">
        <v>20</v>
      </c>
      <c r="G84" s="1" t="s">
        <v>12</v>
      </c>
      <c r="H84" s="1">
        <v>255</v>
      </c>
      <c r="I84" s="1">
        <v>127</v>
      </c>
      <c r="J84" s="1" t="s">
        <v>29</v>
      </c>
      <c r="K84">
        <f t="shared" si="1"/>
        <v>1</v>
      </c>
    </row>
    <row r="85" spans="1:11" hidden="1">
      <c r="A85" s="1">
        <v>181</v>
      </c>
      <c r="B85" s="1">
        <v>1</v>
      </c>
      <c r="C85" s="1">
        <v>1</v>
      </c>
      <c r="D85" s="1">
        <v>1</v>
      </c>
      <c r="E85" s="1">
        <v>2</v>
      </c>
      <c r="F85" s="1" t="s">
        <v>12</v>
      </c>
      <c r="G85" s="1" t="s">
        <v>20</v>
      </c>
      <c r="H85" s="1">
        <v>127</v>
      </c>
      <c r="I85" s="1">
        <v>255</v>
      </c>
      <c r="J85" s="1" t="s">
        <v>29</v>
      </c>
      <c r="K85">
        <f t="shared" si="1"/>
        <v>0</v>
      </c>
    </row>
    <row r="86" spans="1:11">
      <c r="A86" s="1">
        <v>149</v>
      </c>
      <c r="B86" s="1">
        <v>4</v>
      </c>
      <c r="C86" s="1">
        <v>4</v>
      </c>
      <c r="D86" s="1">
        <v>2</v>
      </c>
      <c r="E86" s="1">
        <v>1</v>
      </c>
      <c r="F86" s="1" t="s">
        <v>23</v>
      </c>
      <c r="G86" s="1" t="s">
        <v>18</v>
      </c>
      <c r="H86" s="1">
        <v>65280</v>
      </c>
      <c r="I86" s="1">
        <v>32640</v>
      </c>
      <c r="J86" s="1" t="s">
        <v>42</v>
      </c>
      <c r="K86">
        <f t="shared" si="1"/>
        <v>1</v>
      </c>
    </row>
    <row r="87" spans="1:11" hidden="1">
      <c r="A87" s="1">
        <v>199</v>
      </c>
      <c r="B87" s="1">
        <v>4</v>
      </c>
      <c r="C87" s="1">
        <v>4</v>
      </c>
      <c r="D87" s="1">
        <v>1</v>
      </c>
      <c r="E87" s="1">
        <v>2</v>
      </c>
      <c r="F87" s="1" t="s">
        <v>18</v>
      </c>
      <c r="G87" s="1" t="s">
        <v>23</v>
      </c>
      <c r="H87" s="1">
        <v>32640</v>
      </c>
      <c r="I87" s="1">
        <v>65280</v>
      </c>
      <c r="J87" s="1" t="s">
        <v>42</v>
      </c>
      <c r="K87">
        <f t="shared" si="1"/>
        <v>0</v>
      </c>
    </row>
    <row r="88" spans="1:11">
      <c r="A88" s="1">
        <v>137</v>
      </c>
      <c r="B88" s="1">
        <v>2</v>
      </c>
      <c r="C88" s="1">
        <v>2</v>
      </c>
      <c r="D88" s="1">
        <v>2</v>
      </c>
      <c r="E88" s="1">
        <v>1</v>
      </c>
      <c r="F88" s="1" t="s">
        <v>21</v>
      </c>
      <c r="G88" s="1" t="s">
        <v>14</v>
      </c>
      <c r="H88" s="1">
        <v>16711680</v>
      </c>
      <c r="I88" s="1">
        <v>8355840</v>
      </c>
      <c r="J88" s="1" t="s">
        <v>32</v>
      </c>
      <c r="K88">
        <f t="shared" si="1"/>
        <v>1</v>
      </c>
    </row>
    <row r="89" spans="1:11" hidden="1">
      <c r="A89" s="1">
        <v>187</v>
      </c>
      <c r="B89" s="1">
        <v>2</v>
      </c>
      <c r="C89" s="1">
        <v>2</v>
      </c>
      <c r="D89" s="1">
        <v>1</v>
      </c>
      <c r="E89" s="1">
        <v>2</v>
      </c>
      <c r="F89" s="1" t="s">
        <v>14</v>
      </c>
      <c r="G89" s="1" t="s">
        <v>21</v>
      </c>
      <c r="H89" s="1">
        <v>8355840</v>
      </c>
      <c r="I89" s="1">
        <v>16711680</v>
      </c>
      <c r="J89" s="1" t="s">
        <v>32</v>
      </c>
      <c r="K89">
        <f t="shared" si="1"/>
        <v>0</v>
      </c>
    </row>
    <row r="90" spans="1:11">
      <c r="A90" s="1">
        <v>142</v>
      </c>
      <c r="B90" s="1">
        <v>2</v>
      </c>
      <c r="C90" s="1">
        <v>3</v>
      </c>
      <c r="D90" s="1">
        <v>2</v>
      </c>
      <c r="E90" s="1">
        <v>1</v>
      </c>
      <c r="F90" s="1" t="s">
        <v>21</v>
      </c>
      <c r="G90" s="1" t="s">
        <v>16</v>
      </c>
      <c r="H90" s="1">
        <v>16711680</v>
      </c>
      <c r="I90" s="1">
        <v>8355967</v>
      </c>
      <c r="J90" s="1" t="s">
        <v>36</v>
      </c>
      <c r="K90">
        <f t="shared" si="1"/>
        <v>1</v>
      </c>
    </row>
    <row r="91" spans="1:11" hidden="1">
      <c r="A91" s="1">
        <v>188</v>
      </c>
      <c r="B91" s="1">
        <v>3</v>
      </c>
      <c r="C91" s="1">
        <v>2</v>
      </c>
      <c r="D91" s="1">
        <v>1</v>
      </c>
      <c r="E91" s="1">
        <v>2</v>
      </c>
      <c r="F91" s="1" t="s">
        <v>16</v>
      </c>
      <c r="G91" s="1" t="s">
        <v>21</v>
      </c>
      <c r="H91" s="1">
        <v>8355967</v>
      </c>
      <c r="I91" s="1">
        <v>16711680</v>
      </c>
      <c r="J91" s="1" t="s">
        <v>36</v>
      </c>
      <c r="K91">
        <f t="shared" si="1"/>
        <v>0</v>
      </c>
    </row>
    <row r="92" spans="1:11">
      <c r="A92" s="1">
        <v>138</v>
      </c>
      <c r="B92" s="1">
        <v>3</v>
      </c>
      <c r="C92" s="1">
        <v>2</v>
      </c>
      <c r="D92" s="1">
        <v>2</v>
      </c>
      <c r="E92" s="1">
        <v>1</v>
      </c>
      <c r="F92" s="1" t="s">
        <v>22</v>
      </c>
      <c r="G92" s="1" t="s">
        <v>14</v>
      </c>
      <c r="H92" s="1">
        <v>16711935</v>
      </c>
      <c r="I92" s="1">
        <v>8355840</v>
      </c>
      <c r="J92" s="1" t="s">
        <v>33</v>
      </c>
      <c r="K92">
        <f t="shared" si="1"/>
        <v>1</v>
      </c>
    </row>
    <row r="93" spans="1:11" hidden="1">
      <c r="A93" s="1">
        <v>192</v>
      </c>
      <c r="B93" s="1">
        <v>2</v>
      </c>
      <c r="C93" s="1">
        <v>3</v>
      </c>
      <c r="D93" s="1">
        <v>1</v>
      </c>
      <c r="E93" s="1">
        <v>2</v>
      </c>
      <c r="F93" s="1" t="s">
        <v>14</v>
      </c>
      <c r="G93" s="1" t="s">
        <v>22</v>
      </c>
      <c r="H93" s="1">
        <v>8355840</v>
      </c>
      <c r="I93" s="1">
        <v>16711935</v>
      </c>
      <c r="J93" s="1" t="s">
        <v>33</v>
      </c>
      <c r="K93">
        <f t="shared" si="1"/>
        <v>0</v>
      </c>
    </row>
    <row r="94" spans="1:11">
      <c r="A94" s="1">
        <v>143</v>
      </c>
      <c r="B94" s="1">
        <v>3</v>
      </c>
      <c r="C94" s="1">
        <v>3</v>
      </c>
      <c r="D94" s="1">
        <v>2</v>
      </c>
      <c r="E94" s="1">
        <v>1</v>
      </c>
      <c r="F94" s="1" t="s">
        <v>22</v>
      </c>
      <c r="G94" s="1" t="s">
        <v>16</v>
      </c>
      <c r="H94" s="1">
        <v>16711935</v>
      </c>
      <c r="I94" s="1">
        <v>8355967</v>
      </c>
      <c r="J94" s="1" t="s">
        <v>37</v>
      </c>
      <c r="K94">
        <f t="shared" si="1"/>
        <v>1</v>
      </c>
    </row>
    <row r="95" spans="1:11" hidden="1">
      <c r="A95" s="1">
        <v>193</v>
      </c>
      <c r="B95" s="1">
        <v>3</v>
      </c>
      <c r="C95" s="1">
        <v>3</v>
      </c>
      <c r="D95" s="1">
        <v>1</v>
      </c>
      <c r="E95" s="1">
        <v>2</v>
      </c>
      <c r="F95" s="1" t="s">
        <v>16</v>
      </c>
      <c r="G95" s="1" t="s">
        <v>22</v>
      </c>
      <c r="H95" s="1">
        <v>8355967</v>
      </c>
      <c r="I95" s="1">
        <v>16711935</v>
      </c>
      <c r="J95" s="1" t="s">
        <v>37</v>
      </c>
      <c r="K95">
        <f t="shared" si="1"/>
        <v>0</v>
      </c>
    </row>
    <row r="96" spans="1:11">
      <c r="A96" s="1">
        <v>206</v>
      </c>
      <c r="B96" s="1">
        <v>1</v>
      </c>
      <c r="C96" s="1">
        <v>1</v>
      </c>
      <c r="D96" s="1">
        <v>2</v>
      </c>
      <c r="E96" s="1">
        <v>2</v>
      </c>
      <c r="F96" s="1" t="s">
        <v>20</v>
      </c>
      <c r="G96" s="1" t="s">
        <v>20</v>
      </c>
      <c r="H96" s="1">
        <v>255</v>
      </c>
      <c r="I96" s="1">
        <v>255</v>
      </c>
      <c r="J96" s="1" t="s">
        <v>20</v>
      </c>
      <c r="K96">
        <f t="shared" si="1"/>
        <v>1</v>
      </c>
    </row>
    <row r="97" spans="1:11">
      <c r="A97" s="1">
        <v>224</v>
      </c>
      <c r="B97" s="1">
        <v>4</v>
      </c>
      <c r="C97" s="1">
        <v>4</v>
      </c>
      <c r="D97" s="1">
        <v>2</v>
      </c>
      <c r="E97" s="1">
        <v>2</v>
      </c>
      <c r="F97" s="1" t="s">
        <v>23</v>
      </c>
      <c r="G97" s="1" t="s">
        <v>23</v>
      </c>
      <c r="H97" s="1">
        <v>65280</v>
      </c>
      <c r="I97" s="1">
        <v>65280</v>
      </c>
      <c r="J97" s="1" t="s">
        <v>23</v>
      </c>
      <c r="K97">
        <f t="shared" si="1"/>
        <v>1</v>
      </c>
    </row>
    <row r="98" spans="1:11">
      <c r="A98" s="1">
        <v>212</v>
      </c>
      <c r="B98" s="1">
        <v>2</v>
      </c>
      <c r="C98" s="1">
        <v>2</v>
      </c>
      <c r="D98" s="1">
        <v>2</v>
      </c>
      <c r="E98" s="1">
        <v>2</v>
      </c>
      <c r="F98" s="1" t="s">
        <v>21</v>
      </c>
      <c r="G98" s="1" t="s">
        <v>21</v>
      </c>
      <c r="H98" s="1">
        <v>16711680</v>
      </c>
      <c r="I98" s="1">
        <v>16711680</v>
      </c>
      <c r="J98" s="1" t="s">
        <v>21</v>
      </c>
      <c r="K98">
        <f t="shared" si="1"/>
        <v>1</v>
      </c>
    </row>
    <row r="99" spans="1:11">
      <c r="A99" s="1">
        <v>213</v>
      </c>
      <c r="B99" s="1">
        <v>3</v>
      </c>
      <c r="C99" s="1">
        <v>2</v>
      </c>
      <c r="D99" s="1">
        <v>2</v>
      </c>
      <c r="E99" s="1">
        <v>2</v>
      </c>
      <c r="F99" s="1" t="s">
        <v>22</v>
      </c>
      <c r="G99" s="1" t="s">
        <v>21</v>
      </c>
      <c r="H99" s="1">
        <v>16711935</v>
      </c>
      <c r="I99" s="1">
        <v>16711680</v>
      </c>
      <c r="J99" s="1" t="s">
        <v>45</v>
      </c>
      <c r="K99">
        <f t="shared" si="1"/>
        <v>1</v>
      </c>
    </row>
    <row r="100" spans="1:11" hidden="1">
      <c r="A100" s="1">
        <v>217</v>
      </c>
      <c r="B100" s="1">
        <v>2</v>
      </c>
      <c r="C100" s="1">
        <v>3</v>
      </c>
      <c r="D100" s="1">
        <v>2</v>
      </c>
      <c r="E100" s="1">
        <v>2</v>
      </c>
      <c r="F100" s="1" t="s">
        <v>21</v>
      </c>
      <c r="G100" s="1" t="s">
        <v>22</v>
      </c>
      <c r="H100" s="1">
        <v>16711680</v>
      </c>
      <c r="I100" s="1">
        <v>16711935</v>
      </c>
      <c r="J100" s="1" t="s">
        <v>45</v>
      </c>
      <c r="K100">
        <f t="shared" si="1"/>
        <v>0</v>
      </c>
    </row>
    <row r="101" spans="1:11">
      <c r="A101" s="1">
        <v>218</v>
      </c>
      <c r="B101" s="1">
        <v>3</v>
      </c>
      <c r="C101" s="1">
        <v>3</v>
      </c>
      <c r="D101" s="1">
        <v>2</v>
      </c>
      <c r="E101" s="1">
        <v>2</v>
      </c>
      <c r="F101" s="1" t="s">
        <v>22</v>
      </c>
      <c r="G101" s="1" t="s">
        <v>22</v>
      </c>
      <c r="H101" s="1">
        <v>16711935</v>
      </c>
      <c r="I101" s="1">
        <v>16711935</v>
      </c>
      <c r="J101" s="1" t="s">
        <v>22</v>
      </c>
      <c r="K101">
        <f t="shared" si="1"/>
        <v>1</v>
      </c>
    </row>
  </sheetData>
  <autoFilter ref="A1:K101">
    <filterColumn colId="10">
      <filters>
        <filter val="1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3"/>
  <sheetViews>
    <sheetView zoomScale="70" zoomScaleNormal="70" workbookViewId="0">
      <selection activeCell="A52" sqref="A52:B52"/>
    </sheetView>
  </sheetViews>
  <sheetFormatPr defaultRowHeight="15"/>
  <sheetData>
    <row r="1" spans="1:26">
      <c r="A1" t="s">
        <v>50</v>
      </c>
      <c r="B1" s="5" t="s">
        <v>7</v>
      </c>
      <c r="C1" s="5" t="s">
        <v>8</v>
      </c>
      <c r="D1" s="5" t="s">
        <v>4</v>
      </c>
      <c r="E1" s="5" t="s">
        <v>5</v>
      </c>
      <c r="F1" s="5" t="s">
        <v>48</v>
      </c>
      <c r="I1" s="5"/>
      <c r="J1" s="5"/>
      <c r="K1" s="5"/>
      <c r="L1" s="5"/>
      <c r="M1" s="5"/>
      <c r="Q1" s="7"/>
      <c r="R1" s="8"/>
      <c r="S1" s="9"/>
      <c r="U1" s="5"/>
      <c r="X1" s="10"/>
      <c r="Y1" s="11"/>
      <c r="Z1" s="12"/>
    </row>
    <row r="2" spans="1:26">
      <c r="A2">
        <v>0</v>
      </c>
      <c r="B2" s="1">
        <v>0</v>
      </c>
      <c r="C2" s="1">
        <v>0</v>
      </c>
      <c r="D2" s="1">
        <v>1</v>
      </c>
      <c r="E2" s="1">
        <v>1</v>
      </c>
      <c r="F2" s="1" t="s">
        <v>11</v>
      </c>
      <c r="I2" s="1"/>
      <c r="J2" s="1"/>
      <c r="K2" s="1"/>
      <c r="L2" s="1"/>
      <c r="M2" s="1"/>
      <c r="Q2" s="10"/>
      <c r="R2" s="11"/>
      <c r="S2" s="12"/>
    </row>
    <row r="3" spans="1:26">
      <c r="A3">
        <v>1</v>
      </c>
      <c r="B3" s="1">
        <v>1</v>
      </c>
      <c r="C3" s="1">
        <v>0</v>
      </c>
      <c r="D3" s="1">
        <v>1</v>
      </c>
      <c r="E3" s="1">
        <v>1</v>
      </c>
      <c r="F3" s="1" t="s">
        <v>13</v>
      </c>
      <c r="I3" s="1"/>
      <c r="J3" s="1"/>
      <c r="K3" s="1"/>
      <c r="L3" s="1"/>
      <c r="M3" s="1"/>
      <c r="Q3" s="10"/>
      <c r="R3" s="11"/>
      <c r="S3" s="12"/>
    </row>
    <row r="4" spans="1:26">
      <c r="A4">
        <v>2</v>
      </c>
      <c r="B4" s="1">
        <v>4</v>
      </c>
      <c r="C4" s="1">
        <v>0</v>
      </c>
      <c r="D4" s="1">
        <v>1</v>
      </c>
      <c r="E4" s="1">
        <v>1</v>
      </c>
      <c r="F4" s="1" t="s">
        <v>19</v>
      </c>
      <c r="I4" s="1"/>
      <c r="J4" s="1"/>
      <c r="K4" s="1"/>
      <c r="L4" s="1"/>
      <c r="M4" s="1"/>
      <c r="Q4" s="10"/>
      <c r="R4" s="11"/>
      <c r="S4" s="12"/>
    </row>
    <row r="5" spans="1:26">
      <c r="A5">
        <v>3</v>
      </c>
      <c r="B5" s="1">
        <v>2</v>
      </c>
      <c r="C5" s="1">
        <v>0</v>
      </c>
      <c r="D5" s="1">
        <v>1</v>
      </c>
      <c r="E5" s="1">
        <v>1</v>
      </c>
      <c r="F5" s="1" t="s">
        <v>15</v>
      </c>
      <c r="I5" s="1"/>
      <c r="J5" s="1"/>
      <c r="K5" s="1"/>
      <c r="L5" s="1"/>
      <c r="M5" s="1"/>
      <c r="Q5" s="10"/>
      <c r="R5" s="11"/>
      <c r="S5" s="12"/>
    </row>
    <row r="6" spans="1:26">
      <c r="A6">
        <v>4</v>
      </c>
      <c r="B6" s="1">
        <v>3</v>
      </c>
      <c r="C6" s="1">
        <v>0</v>
      </c>
      <c r="D6" s="1">
        <v>1</v>
      </c>
      <c r="E6" s="1">
        <v>1</v>
      </c>
      <c r="F6" s="1" t="s">
        <v>17</v>
      </c>
      <c r="I6" s="1"/>
      <c r="J6" s="1"/>
      <c r="K6" s="1"/>
      <c r="L6" s="1"/>
      <c r="M6" s="1"/>
      <c r="Q6" s="10"/>
      <c r="R6" s="11"/>
      <c r="S6" s="12"/>
    </row>
    <row r="7" spans="1:26">
      <c r="A7">
        <v>5</v>
      </c>
      <c r="B7" s="1">
        <v>3</v>
      </c>
      <c r="C7" s="1">
        <v>1</v>
      </c>
      <c r="D7" s="1">
        <v>1</v>
      </c>
      <c r="E7" s="1">
        <v>1</v>
      </c>
      <c r="F7" s="1" t="s">
        <v>24</v>
      </c>
      <c r="I7" s="1"/>
      <c r="J7" s="1"/>
      <c r="K7" s="1"/>
      <c r="L7" s="1"/>
      <c r="M7" s="1"/>
      <c r="Q7" s="10"/>
      <c r="R7" s="11"/>
      <c r="S7" s="12"/>
    </row>
    <row r="8" spans="1:26">
      <c r="A8">
        <v>6</v>
      </c>
      <c r="B8" s="1">
        <v>1</v>
      </c>
      <c r="C8" s="1">
        <v>3</v>
      </c>
      <c r="D8" s="1">
        <v>2</v>
      </c>
      <c r="E8" s="1">
        <v>1</v>
      </c>
      <c r="F8" s="1" t="s">
        <v>35</v>
      </c>
      <c r="I8" s="1"/>
      <c r="J8" s="1"/>
      <c r="K8" s="1"/>
      <c r="L8" s="1"/>
      <c r="M8" s="1"/>
      <c r="Q8" s="10"/>
      <c r="R8" s="11"/>
      <c r="S8" s="12"/>
    </row>
    <row r="9" spans="1:26">
      <c r="A9">
        <v>7</v>
      </c>
      <c r="B9" s="1">
        <v>4</v>
      </c>
      <c r="C9" s="1">
        <v>1</v>
      </c>
      <c r="D9" s="1">
        <v>1</v>
      </c>
      <c r="E9" s="1">
        <v>1</v>
      </c>
      <c r="F9" s="1" t="s">
        <v>25</v>
      </c>
      <c r="I9" s="1"/>
      <c r="J9" s="1"/>
      <c r="K9" s="1"/>
      <c r="L9" s="1"/>
      <c r="M9" s="1"/>
      <c r="Q9" s="10"/>
      <c r="R9" s="11"/>
      <c r="S9" s="12"/>
    </row>
    <row r="10" spans="1:26">
      <c r="A10">
        <v>8</v>
      </c>
      <c r="B10" s="1">
        <v>4</v>
      </c>
      <c r="C10" s="1">
        <v>2</v>
      </c>
      <c r="D10" s="1">
        <v>1</v>
      </c>
      <c r="E10" s="1">
        <v>1</v>
      </c>
      <c r="F10" s="1" t="s">
        <v>27</v>
      </c>
      <c r="I10" s="1"/>
      <c r="J10" s="1"/>
      <c r="K10" s="1"/>
      <c r="L10" s="1"/>
      <c r="M10" s="1"/>
      <c r="Q10" s="10"/>
      <c r="R10" s="11"/>
      <c r="S10" s="12"/>
    </row>
    <row r="11" spans="1:26">
      <c r="A11">
        <v>9</v>
      </c>
      <c r="B11" s="1">
        <v>4</v>
      </c>
      <c r="C11" s="1">
        <v>3</v>
      </c>
      <c r="D11" s="1">
        <v>1</v>
      </c>
      <c r="E11" s="1">
        <v>1</v>
      </c>
      <c r="F11" s="1" t="s">
        <v>28</v>
      </c>
      <c r="I11" s="1"/>
      <c r="J11" s="1"/>
      <c r="K11" s="1"/>
      <c r="L11" s="1"/>
      <c r="M11" s="1"/>
      <c r="Q11" s="10"/>
      <c r="R11" s="11"/>
      <c r="S11" s="12"/>
    </row>
    <row r="12" spans="1:26">
      <c r="A12">
        <v>10</v>
      </c>
      <c r="B12" s="1">
        <v>1</v>
      </c>
      <c r="C12" s="1">
        <v>4</v>
      </c>
      <c r="D12" s="1">
        <v>2</v>
      </c>
      <c r="E12" s="1">
        <v>1</v>
      </c>
      <c r="F12" s="1" t="s">
        <v>39</v>
      </c>
      <c r="I12" s="1"/>
      <c r="J12" s="1"/>
      <c r="K12" s="1"/>
      <c r="L12" s="1"/>
      <c r="M12" s="1"/>
      <c r="Q12" s="10"/>
      <c r="R12" s="11"/>
      <c r="S12" s="12"/>
    </row>
    <row r="13" spans="1:26">
      <c r="A13">
        <v>11</v>
      </c>
      <c r="B13" s="1">
        <v>4</v>
      </c>
      <c r="C13" s="1">
        <v>2</v>
      </c>
      <c r="D13" s="1">
        <v>2</v>
      </c>
      <c r="E13" s="1">
        <v>1</v>
      </c>
      <c r="F13" s="1" t="s">
        <v>34</v>
      </c>
      <c r="I13" s="1"/>
      <c r="J13" s="1"/>
      <c r="K13" s="1"/>
      <c r="L13" s="1"/>
      <c r="M13" s="1"/>
      <c r="Q13" s="10"/>
      <c r="R13" s="11"/>
      <c r="S13" s="12"/>
    </row>
    <row r="14" spans="1:26">
      <c r="A14">
        <v>12</v>
      </c>
      <c r="B14" s="1">
        <v>4</v>
      </c>
      <c r="C14" s="1">
        <v>3</v>
      </c>
      <c r="D14" s="1">
        <v>2</v>
      </c>
      <c r="E14" s="1">
        <v>1</v>
      </c>
      <c r="F14" s="1" t="s">
        <v>38</v>
      </c>
      <c r="I14" s="1"/>
      <c r="J14" s="1"/>
      <c r="K14" s="1"/>
      <c r="L14" s="1"/>
      <c r="M14" s="1"/>
      <c r="Q14" s="10"/>
      <c r="R14" s="11"/>
      <c r="S14" s="12"/>
    </row>
    <row r="15" spans="1:26">
      <c r="A15">
        <v>13</v>
      </c>
      <c r="B15" s="1">
        <v>1</v>
      </c>
      <c r="C15" s="1">
        <v>1</v>
      </c>
      <c r="D15" s="1">
        <v>1</v>
      </c>
      <c r="E15" s="1">
        <v>1</v>
      </c>
      <c r="F15" s="1" t="s">
        <v>12</v>
      </c>
      <c r="I15" s="1"/>
      <c r="J15" s="1"/>
      <c r="K15" s="1"/>
      <c r="L15" s="1"/>
      <c r="M15" s="1"/>
      <c r="Q15" s="10"/>
      <c r="R15" s="11"/>
      <c r="S15" s="12"/>
    </row>
    <row r="16" spans="1:26">
      <c r="A16">
        <v>14</v>
      </c>
      <c r="B16" s="1">
        <v>4</v>
      </c>
      <c r="C16" s="1">
        <v>4</v>
      </c>
      <c r="D16" s="1">
        <v>1</v>
      </c>
      <c r="E16" s="1">
        <v>1</v>
      </c>
      <c r="F16" s="1" t="s">
        <v>18</v>
      </c>
      <c r="I16" s="1"/>
      <c r="J16" s="1"/>
      <c r="K16" s="1"/>
      <c r="L16" s="1"/>
      <c r="M16" s="1"/>
      <c r="Q16" s="10"/>
      <c r="R16" s="11"/>
      <c r="S16" s="12"/>
    </row>
    <row r="17" spans="1:19">
      <c r="A17">
        <v>15</v>
      </c>
      <c r="B17" s="1">
        <v>2</v>
      </c>
      <c r="C17" s="1">
        <v>2</v>
      </c>
      <c r="D17" s="1">
        <v>1</v>
      </c>
      <c r="E17" s="1">
        <v>1</v>
      </c>
      <c r="F17" s="1" t="s">
        <v>14</v>
      </c>
      <c r="I17" s="1"/>
      <c r="J17" s="1"/>
      <c r="K17" s="1"/>
      <c r="L17" s="1"/>
      <c r="M17" s="1"/>
      <c r="Q17" s="10"/>
      <c r="R17" s="11"/>
      <c r="S17" s="12"/>
    </row>
    <row r="18" spans="1:19">
      <c r="A18">
        <v>16</v>
      </c>
      <c r="B18" s="1">
        <v>3</v>
      </c>
      <c r="C18" s="1">
        <v>2</v>
      </c>
      <c r="D18" s="1">
        <v>1</v>
      </c>
      <c r="E18" s="1">
        <v>1</v>
      </c>
      <c r="F18" s="1" t="s">
        <v>26</v>
      </c>
      <c r="I18" s="1"/>
      <c r="J18" s="1"/>
      <c r="K18" s="1"/>
      <c r="L18" s="1"/>
      <c r="M18" s="1"/>
      <c r="Q18" s="10"/>
      <c r="R18" s="11"/>
      <c r="S18" s="12"/>
    </row>
    <row r="19" spans="1:19">
      <c r="A19">
        <v>17</v>
      </c>
      <c r="B19" s="1">
        <v>3</v>
      </c>
      <c r="C19" s="1">
        <v>3</v>
      </c>
      <c r="D19" s="1">
        <v>1</v>
      </c>
      <c r="E19" s="1">
        <v>1</v>
      </c>
      <c r="F19" s="1" t="s">
        <v>16</v>
      </c>
      <c r="I19" s="1"/>
      <c r="J19" s="1"/>
      <c r="K19" s="1"/>
      <c r="L19" s="1"/>
      <c r="M19" s="1"/>
      <c r="Q19" s="10"/>
      <c r="R19" s="11"/>
      <c r="S19" s="12"/>
    </row>
    <row r="20" spans="1:19">
      <c r="A20">
        <v>18</v>
      </c>
      <c r="B20" s="1">
        <v>3</v>
      </c>
      <c r="C20" s="1">
        <v>1</v>
      </c>
      <c r="D20" s="1">
        <v>2</v>
      </c>
      <c r="E20" s="1">
        <v>1</v>
      </c>
      <c r="F20" s="1" t="s">
        <v>30</v>
      </c>
      <c r="I20" s="1"/>
      <c r="J20" s="1"/>
      <c r="K20" s="1"/>
      <c r="L20" s="1"/>
      <c r="M20" s="1"/>
      <c r="Q20" s="10"/>
      <c r="R20" s="11"/>
      <c r="S20" s="12"/>
    </row>
    <row r="21" spans="1:19">
      <c r="A21">
        <v>19</v>
      </c>
      <c r="B21" s="1">
        <v>3</v>
      </c>
      <c r="C21" s="1">
        <v>1</v>
      </c>
      <c r="D21" s="1">
        <v>2</v>
      </c>
      <c r="E21" s="1">
        <v>2</v>
      </c>
      <c r="F21" s="1" t="s">
        <v>43</v>
      </c>
      <c r="I21" s="1"/>
      <c r="J21" s="1"/>
      <c r="K21" s="1"/>
      <c r="L21" s="1"/>
      <c r="M21" s="1"/>
      <c r="Q21" s="10"/>
      <c r="R21" s="11"/>
      <c r="S21" s="12"/>
    </row>
    <row r="22" spans="1:19">
      <c r="A22">
        <v>20</v>
      </c>
      <c r="B22" s="1">
        <v>4</v>
      </c>
      <c r="C22" s="1">
        <v>1</v>
      </c>
      <c r="D22" s="1">
        <v>2</v>
      </c>
      <c r="E22" s="1">
        <v>1</v>
      </c>
      <c r="F22" s="1" t="s">
        <v>31</v>
      </c>
      <c r="I22" s="1"/>
      <c r="J22" s="1"/>
      <c r="K22" s="1"/>
      <c r="L22" s="1"/>
      <c r="M22" s="1"/>
      <c r="Q22" s="10"/>
      <c r="R22" s="11"/>
      <c r="S22" s="12"/>
    </row>
    <row r="23" spans="1:19">
      <c r="A23">
        <v>21</v>
      </c>
      <c r="B23" s="1">
        <v>2</v>
      </c>
      <c r="C23" s="1">
        <v>4</v>
      </c>
      <c r="D23" s="1">
        <v>2</v>
      </c>
      <c r="E23" s="1">
        <v>1</v>
      </c>
      <c r="F23" s="1" t="s">
        <v>40</v>
      </c>
      <c r="I23" s="1"/>
      <c r="J23" s="1"/>
      <c r="K23" s="1"/>
      <c r="L23" s="1"/>
      <c r="M23" s="1"/>
      <c r="Q23" s="10"/>
      <c r="R23" s="11"/>
      <c r="S23" s="12"/>
    </row>
    <row r="24" spans="1:19">
      <c r="A24">
        <v>22</v>
      </c>
      <c r="B24" s="1">
        <v>3</v>
      </c>
      <c r="C24" s="1">
        <v>4</v>
      </c>
      <c r="D24" s="1">
        <v>2</v>
      </c>
      <c r="E24" s="1">
        <v>1</v>
      </c>
      <c r="F24" s="1" t="s">
        <v>41</v>
      </c>
      <c r="I24" s="1"/>
      <c r="J24" s="1"/>
      <c r="K24" s="1"/>
      <c r="L24" s="1"/>
      <c r="M24" s="1"/>
      <c r="Q24" s="10"/>
      <c r="R24" s="11"/>
      <c r="S24" s="12"/>
    </row>
    <row r="25" spans="1:19">
      <c r="A25">
        <v>23</v>
      </c>
      <c r="B25" s="1">
        <v>4</v>
      </c>
      <c r="C25" s="1">
        <v>1</v>
      </c>
      <c r="D25" s="1">
        <v>2</v>
      </c>
      <c r="E25" s="1">
        <v>2</v>
      </c>
      <c r="F25" s="1" t="s">
        <v>44</v>
      </c>
      <c r="I25" s="1"/>
      <c r="J25" s="1"/>
      <c r="K25" s="1"/>
      <c r="L25" s="1"/>
      <c r="M25" s="1"/>
      <c r="Q25" s="10"/>
      <c r="R25" s="11"/>
      <c r="S25" s="12"/>
    </row>
    <row r="26" spans="1:19">
      <c r="A26">
        <v>24</v>
      </c>
      <c r="B26" s="1">
        <v>4</v>
      </c>
      <c r="C26" s="1">
        <v>2</v>
      </c>
      <c r="D26" s="1">
        <v>2</v>
      </c>
      <c r="E26" s="1">
        <v>2</v>
      </c>
      <c r="F26" s="1" t="s">
        <v>46</v>
      </c>
      <c r="I26" s="1"/>
      <c r="J26" s="1"/>
      <c r="K26" s="1"/>
      <c r="L26" s="1"/>
      <c r="M26" s="1"/>
      <c r="Q26" s="10"/>
      <c r="R26" s="11"/>
      <c r="S26" s="12"/>
    </row>
    <row r="27" spans="1:19">
      <c r="A27">
        <v>25</v>
      </c>
      <c r="B27" s="1">
        <v>4</v>
      </c>
      <c r="C27" s="1">
        <v>3</v>
      </c>
      <c r="D27" s="1">
        <v>2</v>
      </c>
      <c r="E27" s="1">
        <v>2</v>
      </c>
      <c r="F27" s="1" t="s">
        <v>47</v>
      </c>
      <c r="I27" s="1"/>
      <c r="J27" s="1"/>
      <c r="K27" s="1"/>
      <c r="L27" s="1"/>
      <c r="M27" s="1"/>
      <c r="Q27" s="10"/>
      <c r="R27" s="11"/>
      <c r="S27" s="12"/>
    </row>
    <row r="28" spans="1:19">
      <c r="A28">
        <v>26</v>
      </c>
      <c r="B28" s="1">
        <v>1</v>
      </c>
      <c r="C28" s="1">
        <v>1</v>
      </c>
      <c r="D28" s="1">
        <v>2</v>
      </c>
      <c r="E28" s="1">
        <v>1</v>
      </c>
      <c r="F28" s="1" t="s">
        <v>29</v>
      </c>
      <c r="I28" s="1"/>
      <c r="J28" s="1"/>
      <c r="K28" s="1"/>
      <c r="L28" s="1"/>
      <c r="M28" s="1"/>
      <c r="Q28" s="10"/>
      <c r="R28" s="11"/>
      <c r="S28" s="12"/>
    </row>
    <row r="29" spans="1:19">
      <c r="A29">
        <v>27</v>
      </c>
      <c r="B29" s="1">
        <v>4</v>
      </c>
      <c r="C29" s="1">
        <v>4</v>
      </c>
      <c r="D29" s="1">
        <v>2</v>
      </c>
      <c r="E29" s="1">
        <v>1</v>
      </c>
      <c r="F29" s="1" t="s">
        <v>42</v>
      </c>
      <c r="I29" s="1"/>
      <c r="J29" s="1"/>
      <c r="K29" s="1"/>
      <c r="L29" s="1"/>
      <c r="M29" s="1"/>
      <c r="Q29" s="10"/>
      <c r="R29" s="11"/>
      <c r="S29" s="12"/>
    </row>
    <row r="30" spans="1:19">
      <c r="A30">
        <v>28</v>
      </c>
      <c r="B30" s="1">
        <v>2</v>
      </c>
      <c r="C30" s="1">
        <v>2</v>
      </c>
      <c r="D30" s="1">
        <v>2</v>
      </c>
      <c r="E30" s="1">
        <v>1</v>
      </c>
      <c r="F30" s="1" t="s">
        <v>32</v>
      </c>
      <c r="I30" s="1"/>
      <c r="J30" s="1"/>
      <c r="K30" s="1"/>
      <c r="L30" s="1"/>
      <c r="M30" s="1"/>
      <c r="Q30" s="10"/>
      <c r="R30" s="11"/>
      <c r="S30" s="12"/>
    </row>
    <row r="31" spans="1:19">
      <c r="A31">
        <v>29</v>
      </c>
      <c r="B31" s="1">
        <v>2</v>
      </c>
      <c r="C31" s="1">
        <v>3</v>
      </c>
      <c r="D31" s="1">
        <v>2</v>
      </c>
      <c r="E31" s="1">
        <v>1</v>
      </c>
      <c r="F31" s="1" t="s">
        <v>36</v>
      </c>
      <c r="I31" s="1"/>
      <c r="J31" s="1"/>
      <c r="K31" s="1"/>
      <c r="L31" s="1"/>
      <c r="M31" s="1"/>
      <c r="Q31" s="10"/>
      <c r="R31" s="11"/>
      <c r="S31" s="12"/>
    </row>
    <row r="32" spans="1:19">
      <c r="A32">
        <v>30</v>
      </c>
      <c r="B32" s="1">
        <v>3</v>
      </c>
      <c r="C32" s="1">
        <v>2</v>
      </c>
      <c r="D32" s="1">
        <v>2</v>
      </c>
      <c r="E32" s="1">
        <v>1</v>
      </c>
      <c r="F32" s="1" t="s">
        <v>33</v>
      </c>
      <c r="I32" s="1"/>
      <c r="J32" s="1"/>
      <c r="K32" s="1"/>
      <c r="L32" s="1"/>
      <c r="M32" s="1"/>
      <c r="Q32" s="10"/>
      <c r="R32" s="11"/>
      <c r="S32" s="12"/>
    </row>
    <row r="33" spans="1:38">
      <c r="A33">
        <v>31</v>
      </c>
      <c r="B33" s="1">
        <v>3</v>
      </c>
      <c r="C33" s="1">
        <v>3</v>
      </c>
      <c r="D33" s="1">
        <v>2</v>
      </c>
      <c r="E33" s="1">
        <v>1</v>
      </c>
      <c r="F33" s="1" t="s">
        <v>37</v>
      </c>
      <c r="I33" s="1"/>
      <c r="J33" s="1"/>
      <c r="K33" s="1"/>
      <c r="L33" s="1"/>
      <c r="M33" s="1"/>
      <c r="Q33" s="10"/>
      <c r="R33" s="11"/>
      <c r="S33" s="12"/>
    </row>
    <row r="34" spans="1:38">
      <c r="A34">
        <v>32</v>
      </c>
      <c r="B34" s="1">
        <v>1</v>
      </c>
      <c r="C34" s="1">
        <v>1</v>
      </c>
      <c r="D34" s="1">
        <v>2</v>
      </c>
      <c r="E34" s="1">
        <v>2</v>
      </c>
      <c r="F34" s="1" t="s">
        <v>20</v>
      </c>
      <c r="I34" s="1"/>
      <c r="J34" s="1"/>
      <c r="K34" s="1"/>
      <c r="L34" s="1"/>
      <c r="M34" s="1"/>
      <c r="Q34" s="10"/>
      <c r="R34" s="11"/>
      <c r="S34" s="12"/>
    </row>
    <row r="35" spans="1:38">
      <c r="A35">
        <v>33</v>
      </c>
      <c r="B35" s="1">
        <v>4</v>
      </c>
      <c r="C35" s="1">
        <v>4</v>
      </c>
      <c r="D35" s="1">
        <v>2</v>
      </c>
      <c r="E35" s="1">
        <v>2</v>
      </c>
      <c r="F35" s="1" t="s">
        <v>23</v>
      </c>
      <c r="I35" s="1"/>
      <c r="J35" s="1"/>
      <c r="K35" s="1"/>
      <c r="L35" s="1"/>
      <c r="M35" s="1"/>
      <c r="Q35" s="10"/>
      <c r="R35" s="11"/>
      <c r="S35" s="12"/>
    </row>
    <row r="36" spans="1:38">
      <c r="A36">
        <v>34</v>
      </c>
      <c r="B36" s="1">
        <v>2</v>
      </c>
      <c r="C36" s="1">
        <v>2</v>
      </c>
      <c r="D36" s="1">
        <v>2</v>
      </c>
      <c r="E36" s="1">
        <v>2</v>
      </c>
      <c r="F36" s="1" t="s">
        <v>21</v>
      </c>
      <c r="I36" s="1"/>
      <c r="J36" s="1"/>
      <c r="K36" s="1"/>
      <c r="L36" s="1"/>
      <c r="M36" s="1"/>
      <c r="Q36" s="10"/>
      <c r="R36" s="11"/>
      <c r="S36" s="12"/>
    </row>
    <row r="37" spans="1:38">
      <c r="A37">
        <v>35</v>
      </c>
      <c r="B37" s="1">
        <v>3</v>
      </c>
      <c r="C37" s="1">
        <v>2</v>
      </c>
      <c r="D37" s="1">
        <v>2</v>
      </c>
      <c r="E37" s="1">
        <v>2</v>
      </c>
      <c r="F37" s="1" t="s">
        <v>45</v>
      </c>
      <c r="I37" s="1"/>
      <c r="J37" s="1"/>
      <c r="K37" s="1"/>
      <c r="L37" s="1"/>
      <c r="M37" s="1"/>
      <c r="Q37" s="10"/>
      <c r="R37" s="11"/>
      <c r="S37" s="12"/>
    </row>
    <row r="38" spans="1:38" ht="15.75" thickBot="1">
      <c r="A38">
        <v>36</v>
      </c>
      <c r="B38" s="1">
        <v>3</v>
      </c>
      <c r="C38" s="1">
        <v>3</v>
      </c>
      <c r="D38" s="1">
        <v>2</v>
      </c>
      <c r="E38" s="1">
        <v>2</v>
      </c>
      <c r="F38" s="1" t="s">
        <v>22</v>
      </c>
      <c r="I38" s="1"/>
      <c r="J38" s="1"/>
      <c r="K38" s="1"/>
      <c r="L38" s="1"/>
      <c r="M38" s="1"/>
      <c r="Q38" s="13"/>
      <c r="R38" s="14"/>
      <c r="S38" s="15"/>
    </row>
    <row r="41" spans="1:38">
      <c r="B41" s="1">
        <v>0</v>
      </c>
      <c r="C41" s="1">
        <v>1</v>
      </c>
      <c r="D41" s="1">
        <v>4</v>
      </c>
      <c r="E41" s="1">
        <v>2</v>
      </c>
      <c r="F41" s="1">
        <v>3</v>
      </c>
      <c r="G41" s="1">
        <v>3</v>
      </c>
      <c r="H41" s="1">
        <v>1</v>
      </c>
      <c r="I41" s="1">
        <v>4</v>
      </c>
      <c r="J41" s="1">
        <v>4</v>
      </c>
      <c r="K41" s="1">
        <v>4</v>
      </c>
      <c r="L41" s="1">
        <v>1</v>
      </c>
      <c r="M41" s="1">
        <v>4</v>
      </c>
      <c r="N41" s="1">
        <v>4</v>
      </c>
      <c r="O41" s="1">
        <v>1</v>
      </c>
      <c r="P41" s="1">
        <v>4</v>
      </c>
      <c r="Q41" s="1">
        <v>2</v>
      </c>
      <c r="R41" s="1">
        <v>3</v>
      </c>
      <c r="S41" s="1">
        <v>3</v>
      </c>
      <c r="T41" s="1">
        <v>3</v>
      </c>
      <c r="U41" s="1">
        <v>3</v>
      </c>
      <c r="V41" s="1">
        <v>4</v>
      </c>
      <c r="W41" s="1">
        <v>2</v>
      </c>
      <c r="X41" s="1">
        <v>3</v>
      </c>
      <c r="Y41" s="1">
        <v>4</v>
      </c>
      <c r="Z41" s="1">
        <v>4</v>
      </c>
      <c r="AA41" s="1">
        <v>4</v>
      </c>
      <c r="AB41" s="1">
        <v>1</v>
      </c>
      <c r="AC41" s="1">
        <v>4</v>
      </c>
      <c r="AD41" s="1">
        <v>2</v>
      </c>
      <c r="AE41" s="1">
        <v>2</v>
      </c>
      <c r="AF41" s="1">
        <v>3</v>
      </c>
      <c r="AG41" s="1">
        <v>3</v>
      </c>
      <c r="AH41" s="1">
        <v>1</v>
      </c>
      <c r="AI41" s="1">
        <v>4</v>
      </c>
      <c r="AJ41" s="1">
        <v>2</v>
      </c>
      <c r="AK41" s="1">
        <v>3</v>
      </c>
      <c r="AL41" s="1">
        <v>3</v>
      </c>
    </row>
    <row r="42" spans="1:38"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1</v>
      </c>
      <c r="H42" s="1">
        <v>3</v>
      </c>
      <c r="I42" s="1">
        <v>1</v>
      </c>
      <c r="J42" s="1">
        <v>2</v>
      </c>
      <c r="K42" s="1">
        <v>3</v>
      </c>
      <c r="L42" s="1">
        <v>4</v>
      </c>
      <c r="M42" s="1">
        <v>2</v>
      </c>
      <c r="N42" s="1">
        <v>3</v>
      </c>
      <c r="O42" s="1">
        <v>1</v>
      </c>
      <c r="P42" s="1">
        <v>4</v>
      </c>
      <c r="Q42" s="1">
        <v>2</v>
      </c>
      <c r="R42" s="1">
        <v>2</v>
      </c>
      <c r="S42" s="1">
        <v>3</v>
      </c>
      <c r="T42" s="1">
        <v>1</v>
      </c>
      <c r="U42" s="1">
        <v>1</v>
      </c>
      <c r="V42" s="1">
        <v>1</v>
      </c>
      <c r="W42" s="1">
        <v>4</v>
      </c>
      <c r="X42" s="1">
        <v>4</v>
      </c>
      <c r="Y42" s="1">
        <v>1</v>
      </c>
      <c r="Z42" s="1">
        <v>2</v>
      </c>
      <c r="AA42" s="1">
        <v>3</v>
      </c>
      <c r="AB42" s="1">
        <v>1</v>
      </c>
      <c r="AC42" s="1">
        <v>4</v>
      </c>
      <c r="AD42" s="1">
        <v>2</v>
      </c>
      <c r="AE42" s="1">
        <v>3</v>
      </c>
      <c r="AF42" s="1">
        <v>2</v>
      </c>
      <c r="AG42" s="1">
        <v>3</v>
      </c>
      <c r="AH42" s="1">
        <v>1</v>
      </c>
      <c r="AI42" s="1">
        <v>4</v>
      </c>
      <c r="AJ42" s="1">
        <v>2</v>
      </c>
      <c r="AK42" s="1">
        <v>2</v>
      </c>
      <c r="AL42" s="1">
        <v>3</v>
      </c>
    </row>
    <row r="43" spans="1:38">
      <c r="B43" s="1">
        <v>1</v>
      </c>
      <c r="C43" s="1">
        <v>1</v>
      </c>
      <c r="D43" s="1">
        <v>1</v>
      </c>
      <c r="E43" s="1">
        <v>1</v>
      </c>
      <c r="F43" s="1">
        <v>1</v>
      </c>
      <c r="G43" s="1">
        <v>1</v>
      </c>
      <c r="H43" s="1">
        <v>2</v>
      </c>
      <c r="I43" s="1">
        <v>1</v>
      </c>
      <c r="J43" s="1">
        <v>1</v>
      </c>
      <c r="K43" s="1">
        <v>1</v>
      </c>
      <c r="L43" s="1">
        <v>2</v>
      </c>
      <c r="M43" s="1">
        <v>2</v>
      </c>
      <c r="N43" s="1">
        <v>2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v>2</v>
      </c>
      <c r="U43" s="1">
        <v>2</v>
      </c>
      <c r="V43" s="1">
        <v>2</v>
      </c>
      <c r="W43" s="1">
        <v>2</v>
      </c>
      <c r="X43" s="1">
        <v>2</v>
      </c>
      <c r="Y43" s="1">
        <v>2</v>
      </c>
      <c r="Z43" s="1">
        <v>2</v>
      </c>
      <c r="AA43" s="1">
        <v>2</v>
      </c>
      <c r="AB43" s="1">
        <v>2</v>
      </c>
      <c r="AC43" s="1">
        <v>2</v>
      </c>
      <c r="AD43" s="1">
        <v>2</v>
      </c>
      <c r="AE43" s="1">
        <v>2</v>
      </c>
      <c r="AF43" s="1">
        <v>2</v>
      </c>
      <c r="AG43" s="1">
        <v>2</v>
      </c>
      <c r="AH43" s="1">
        <v>2</v>
      </c>
      <c r="AI43" s="1">
        <v>2</v>
      </c>
      <c r="AJ43" s="1">
        <v>2</v>
      </c>
      <c r="AK43" s="1">
        <v>2</v>
      </c>
      <c r="AL43" s="1">
        <v>2</v>
      </c>
    </row>
    <row r="44" spans="1:38">
      <c r="B44" s="1">
        <v>1</v>
      </c>
      <c r="C44" s="1">
        <v>1</v>
      </c>
      <c r="D44" s="1">
        <v>1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v>1</v>
      </c>
      <c r="U44" s="1">
        <v>2</v>
      </c>
      <c r="V44" s="1">
        <v>1</v>
      </c>
      <c r="W44" s="1">
        <v>1</v>
      </c>
      <c r="X44" s="1">
        <v>1</v>
      </c>
      <c r="Y44" s="1">
        <v>2</v>
      </c>
      <c r="Z44" s="1">
        <v>2</v>
      </c>
      <c r="AA44" s="1">
        <v>2</v>
      </c>
      <c r="AB44" s="1">
        <v>1</v>
      </c>
      <c r="AC44" s="1">
        <v>1</v>
      </c>
      <c r="AD44" s="1">
        <v>1</v>
      </c>
      <c r="AE44" s="1">
        <v>1</v>
      </c>
      <c r="AF44" s="1">
        <v>1</v>
      </c>
      <c r="AG44" s="1">
        <v>1</v>
      </c>
      <c r="AH44" s="1">
        <v>2</v>
      </c>
      <c r="AI44" s="1">
        <v>2</v>
      </c>
      <c r="AJ44" s="1">
        <v>2</v>
      </c>
      <c r="AK44" s="1">
        <v>2</v>
      </c>
      <c r="AL44" s="1">
        <v>2</v>
      </c>
    </row>
    <row r="45" spans="1:38">
      <c r="B45" s="1" t="s">
        <v>11</v>
      </c>
      <c r="C45" s="1" t="s">
        <v>13</v>
      </c>
      <c r="D45" s="1" t="s">
        <v>19</v>
      </c>
      <c r="E45" s="1" t="s">
        <v>15</v>
      </c>
      <c r="F45" s="1" t="s">
        <v>17</v>
      </c>
      <c r="G45" s="1" t="s">
        <v>24</v>
      </c>
      <c r="H45" s="1" t="s">
        <v>35</v>
      </c>
      <c r="I45" s="1" t="s">
        <v>25</v>
      </c>
      <c r="J45" s="1" t="s">
        <v>27</v>
      </c>
      <c r="K45" s="1" t="s">
        <v>28</v>
      </c>
      <c r="L45" s="1" t="s">
        <v>39</v>
      </c>
      <c r="M45" s="1" t="s">
        <v>34</v>
      </c>
      <c r="N45" s="1" t="s">
        <v>38</v>
      </c>
      <c r="O45" s="1" t="s">
        <v>12</v>
      </c>
      <c r="P45" s="1" t="s">
        <v>18</v>
      </c>
      <c r="Q45" s="1" t="s">
        <v>14</v>
      </c>
      <c r="R45" s="1" t="s">
        <v>26</v>
      </c>
      <c r="S45" s="1" t="s">
        <v>16</v>
      </c>
      <c r="T45" s="1" t="s">
        <v>30</v>
      </c>
      <c r="U45" s="1" t="s">
        <v>43</v>
      </c>
      <c r="V45" s="1" t="s">
        <v>31</v>
      </c>
      <c r="W45" s="1" t="s">
        <v>40</v>
      </c>
      <c r="X45" s="1" t="s">
        <v>41</v>
      </c>
      <c r="Y45" s="1" t="s">
        <v>44</v>
      </c>
      <c r="Z45" s="1" t="s">
        <v>46</v>
      </c>
      <c r="AA45" s="1" t="s">
        <v>47</v>
      </c>
      <c r="AB45" s="1" t="s">
        <v>29</v>
      </c>
      <c r="AC45" s="1" t="s">
        <v>42</v>
      </c>
      <c r="AD45" s="1" t="s">
        <v>32</v>
      </c>
      <c r="AE45" s="1" t="s">
        <v>36</v>
      </c>
      <c r="AF45" s="1" t="s">
        <v>33</v>
      </c>
      <c r="AG45" s="1" t="s">
        <v>37</v>
      </c>
      <c r="AH45" s="1" t="s">
        <v>20</v>
      </c>
      <c r="AI45" s="1" t="s">
        <v>23</v>
      </c>
      <c r="AJ45" s="1" t="s">
        <v>21</v>
      </c>
      <c r="AK45" s="1" t="s">
        <v>45</v>
      </c>
      <c r="AL45" s="1" t="s">
        <v>22</v>
      </c>
    </row>
    <row r="46" spans="1:38">
      <c r="B46" s="1" t="str">
        <f>"0x"&amp;B45</f>
        <v>0x0</v>
      </c>
      <c r="C46" s="1" t="str">
        <f t="shared" ref="C46:AL46" si="0">"0x"&amp;C45</f>
        <v>0x3F</v>
      </c>
      <c r="D46" s="1" t="str">
        <f t="shared" si="0"/>
        <v>0x3FC0</v>
      </c>
      <c r="E46" s="1" t="str">
        <f t="shared" si="0"/>
        <v>0x3FC000</v>
      </c>
      <c r="F46" s="1" t="str">
        <f t="shared" si="0"/>
        <v>0x3FC03F</v>
      </c>
      <c r="G46" s="1" t="str">
        <f t="shared" si="0"/>
        <v>0x3FC07F</v>
      </c>
      <c r="H46" s="1" t="str">
        <f t="shared" si="0"/>
        <v>0x3FC0BF</v>
      </c>
      <c r="I46" s="1" t="str">
        <f t="shared" si="0"/>
        <v>0x3FFF</v>
      </c>
      <c r="J46" s="1" t="str">
        <f t="shared" si="0"/>
        <v>0x3FFFC0</v>
      </c>
      <c r="K46" s="1" t="str">
        <f t="shared" si="0"/>
        <v>0x3FFFFF</v>
      </c>
      <c r="L46" s="1" t="str">
        <f t="shared" si="0"/>
        <v>0x403F</v>
      </c>
      <c r="M46" s="1" t="str">
        <f t="shared" si="0"/>
        <v>0x403F80</v>
      </c>
      <c r="N46" s="1" t="str">
        <f t="shared" si="0"/>
        <v>0x403FBF</v>
      </c>
      <c r="O46" s="1" t="str">
        <f t="shared" si="0"/>
        <v>0x7F</v>
      </c>
      <c r="P46" s="1" t="str">
        <f t="shared" si="0"/>
        <v>0x7F80</v>
      </c>
      <c r="Q46" s="1" t="str">
        <f t="shared" si="0"/>
        <v>0x7F8000</v>
      </c>
      <c r="R46" s="1" t="str">
        <f t="shared" si="0"/>
        <v>0x7F803F</v>
      </c>
      <c r="S46" s="1" t="str">
        <f t="shared" si="0"/>
        <v>0x7F807F</v>
      </c>
      <c r="T46" s="1" t="str">
        <f t="shared" si="0"/>
        <v>0x7F80BF</v>
      </c>
      <c r="U46" s="1" t="str">
        <f t="shared" si="0"/>
        <v>0x7F80FF</v>
      </c>
      <c r="V46" s="1" t="str">
        <f t="shared" si="0"/>
        <v>0x7FBF</v>
      </c>
      <c r="W46" s="1" t="str">
        <f t="shared" si="0"/>
        <v>0x7FBFC0</v>
      </c>
      <c r="X46" s="1" t="str">
        <f t="shared" si="0"/>
        <v>0x7FC03F</v>
      </c>
      <c r="Y46" s="1" t="str">
        <f t="shared" si="0"/>
        <v>0x7FFF</v>
      </c>
      <c r="Z46" s="1" t="str">
        <f t="shared" si="0"/>
        <v>0x7FFF80</v>
      </c>
      <c r="AA46" s="1" t="str">
        <f t="shared" si="0"/>
        <v>0x7FFFFF</v>
      </c>
      <c r="AB46" s="1" t="str">
        <f t="shared" si="0"/>
        <v>0xBF</v>
      </c>
      <c r="AC46" s="1" t="str">
        <f t="shared" si="0"/>
        <v>0xBF40</v>
      </c>
      <c r="AD46" s="1" t="str">
        <f t="shared" si="0"/>
        <v>0xBF4000</v>
      </c>
      <c r="AE46" s="1" t="str">
        <f t="shared" si="0"/>
        <v>0xBF403F</v>
      </c>
      <c r="AF46" s="1" t="str">
        <f t="shared" si="0"/>
        <v>0xBF407F</v>
      </c>
      <c r="AG46" s="1" t="str">
        <f t="shared" si="0"/>
        <v>0xBF40BF</v>
      </c>
      <c r="AH46" s="1" t="str">
        <f t="shared" si="0"/>
        <v>0xFF</v>
      </c>
      <c r="AI46" s="1" t="str">
        <f t="shared" si="0"/>
        <v>0xFF00</v>
      </c>
      <c r="AJ46" s="1" t="str">
        <f t="shared" si="0"/>
        <v>0xFF0000</v>
      </c>
      <c r="AK46" s="1" t="str">
        <f t="shared" si="0"/>
        <v>0xFF007F</v>
      </c>
      <c r="AL46" s="1" t="str">
        <f t="shared" si="0"/>
        <v>0xFF00FF</v>
      </c>
    </row>
    <row r="47" spans="1:38">
      <c r="B47" s="1" t="str">
        <f>RIGHT("000000"&amp;B45,6)</f>
        <v>000000</v>
      </c>
      <c r="C47" s="1" t="str">
        <f t="shared" ref="C47:AL47" si="1">RIGHT("000000"&amp;C45,6)</f>
        <v>00003F</v>
      </c>
      <c r="D47" s="1" t="str">
        <f t="shared" si="1"/>
        <v>003FC0</v>
      </c>
      <c r="E47" s="1" t="str">
        <f t="shared" si="1"/>
        <v>3FC000</v>
      </c>
      <c r="F47" s="1" t="str">
        <f t="shared" si="1"/>
        <v>3FC03F</v>
      </c>
      <c r="G47" s="1" t="str">
        <f t="shared" si="1"/>
        <v>3FC07F</v>
      </c>
      <c r="H47" s="1" t="str">
        <f t="shared" si="1"/>
        <v>3FC0BF</v>
      </c>
      <c r="I47" s="1" t="str">
        <f t="shared" si="1"/>
        <v>003FFF</v>
      </c>
      <c r="J47" s="1" t="str">
        <f t="shared" si="1"/>
        <v>3FFFC0</v>
      </c>
      <c r="K47" s="1" t="str">
        <f t="shared" si="1"/>
        <v>3FFFFF</v>
      </c>
      <c r="L47" s="1" t="str">
        <f t="shared" si="1"/>
        <v>00403F</v>
      </c>
      <c r="M47" s="1" t="str">
        <f t="shared" si="1"/>
        <v>403F80</v>
      </c>
      <c r="N47" s="1" t="str">
        <f t="shared" si="1"/>
        <v>403FBF</v>
      </c>
      <c r="O47" s="1" t="str">
        <f t="shared" si="1"/>
        <v>00007F</v>
      </c>
      <c r="P47" s="1" t="str">
        <f t="shared" si="1"/>
        <v>007F80</v>
      </c>
      <c r="Q47" s="1" t="str">
        <f t="shared" si="1"/>
        <v>7F8000</v>
      </c>
      <c r="R47" s="1" t="str">
        <f t="shared" si="1"/>
        <v>7F803F</v>
      </c>
      <c r="S47" s="1" t="str">
        <f t="shared" si="1"/>
        <v>7F807F</v>
      </c>
      <c r="T47" s="1" t="str">
        <f t="shared" si="1"/>
        <v>7F80BF</v>
      </c>
      <c r="U47" s="1" t="str">
        <f t="shared" si="1"/>
        <v>7F80FF</v>
      </c>
      <c r="V47" s="1" t="str">
        <f t="shared" si="1"/>
        <v>007FBF</v>
      </c>
      <c r="W47" s="1" t="str">
        <f t="shared" si="1"/>
        <v>7FBFC0</v>
      </c>
      <c r="X47" s="1" t="str">
        <f t="shared" si="1"/>
        <v>7FC03F</v>
      </c>
      <c r="Y47" s="1" t="str">
        <f t="shared" si="1"/>
        <v>007FFF</v>
      </c>
      <c r="Z47" s="1" t="str">
        <f t="shared" si="1"/>
        <v>7FFF80</v>
      </c>
      <c r="AA47" s="1" t="str">
        <f t="shared" si="1"/>
        <v>7FFFFF</v>
      </c>
      <c r="AB47" s="1" t="str">
        <f t="shared" si="1"/>
        <v>0000BF</v>
      </c>
      <c r="AC47" s="1" t="str">
        <f t="shared" si="1"/>
        <v>00BF40</v>
      </c>
      <c r="AD47" s="1" t="str">
        <f t="shared" si="1"/>
        <v>BF4000</v>
      </c>
      <c r="AE47" s="1" t="str">
        <f t="shared" si="1"/>
        <v>BF403F</v>
      </c>
      <c r="AF47" s="1" t="str">
        <f t="shared" si="1"/>
        <v>BF407F</v>
      </c>
      <c r="AG47" s="1" t="str">
        <f t="shared" si="1"/>
        <v>BF40BF</v>
      </c>
      <c r="AH47" s="1" t="str">
        <f t="shared" si="1"/>
        <v>0000FF</v>
      </c>
      <c r="AI47" s="1" t="str">
        <f t="shared" si="1"/>
        <v>00FF00</v>
      </c>
      <c r="AJ47" s="1" t="str">
        <f t="shared" si="1"/>
        <v>FF0000</v>
      </c>
      <c r="AK47" s="1" t="str">
        <f t="shared" si="1"/>
        <v>FF007F</v>
      </c>
      <c r="AL47" s="1" t="str">
        <f t="shared" si="1"/>
        <v>FF00FF</v>
      </c>
    </row>
    <row r="48" spans="1:38">
      <c r="A48" t="s">
        <v>0</v>
      </c>
      <c r="B48" s="1" t="str">
        <f>"0x"&amp;MID(B47,1,2)</f>
        <v>0x00</v>
      </c>
      <c r="C48" s="1" t="str">
        <f t="shared" ref="C48:AL48" si="2">"0x"&amp;MID(C47,1,2)</f>
        <v>0x00</v>
      </c>
      <c r="D48" s="1" t="str">
        <f t="shared" si="2"/>
        <v>0x00</v>
      </c>
      <c r="E48" s="1" t="str">
        <f t="shared" si="2"/>
        <v>0x3F</v>
      </c>
      <c r="F48" s="1" t="str">
        <f t="shared" si="2"/>
        <v>0x3F</v>
      </c>
      <c r="G48" s="1" t="str">
        <f t="shared" si="2"/>
        <v>0x3F</v>
      </c>
      <c r="H48" s="1" t="str">
        <f t="shared" si="2"/>
        <v>0x3F</v>
      </c>
      <c r="I48" s="1" t="str">
        <f t="shared" si="2"/>
        <v>0x00</v>
      </c>
      <c r="J48" s="1" t="str">
        <f t="shared" si="2"/>
        <v>0x3F</v>
      </c>
      <c r="K48" s="1" t="str">
        <f t="shared" si="2"/>
        <v>0x3F</v>
      </c>
      <c r="L48" s="1" t="str">
        <f t="shared" si="2"/>
        <v>0x00</v>
      </c>
      <c r="M48" s="1" t="str">
        <f t="shared" si="2"/>
        <v>0x40</v>
      </c>
      <c r="N48" s="1" t="str">
        <f t="shared" si="2"/>
        <v>0x40</v>
      </c>
      <c r="O48" s="1" t="str">
        <f t="shared" si="2"/>
        <v>0x00</v>
      </c>
      <c r="P48" s="1" t="str">
        <f t="shared" si="2"/>
        <v>0x00</v>
      </c>
      <c r="Q48" s="1" t="str">
        <f t="shared" si="2"/>
        <v>0x7F</v>
      </c>
      <c r="R48" s="1" t="str">
        <f t="shared" si="2"/>
        <v>0x7F</v>
      </c>
      <c r="S48" s="1" t="str">
        <f t="shared" si="2"/>
        <v>0x7F</v>
      </c>
      <c r="T48" s="1" t="str">
        <f t="shared" si="2"/>
        <v>0x7F</v>
      </c>
      <c r="U48" s="1" t="str">
        <f t="shared" si="2"/>
        <v>0x7F</v>
      </c>
      <c r="V48" s="1" t="str">
        <f t="shared" si="2"/>
        <v>0x00</v>
      </c>
      <c r="W48" s="1" t="str">
        <f t="shared" si="2"/>
        <v>0x7F</v>
      </c>
      <c r="X48" s="1" t="str">
        <f t="shared" si="2"/>
        <v>0x7F</v>
      </c>
      <c r="Y48" s="1" t="str">
        <f t="shared" si="2"/>
        <v>0x00</v>
      </c>
      <c r="Z48" s="1" t="str">
        <f t="shared" si="2"/>
        <v>0x7F</v>
      </c>
      <c r="AA48" s="1" t="str">
        <f t="shared" si="2"/>
        <v>0x7F</v>
      </c>
      <c r="AB48" s="1" t="str">
        <f t="shared" si="2"/>
        <v>0x00</v>
      </c>
      <c r="AC48" s="1" t="str">
        <f t="shared" si="2"/>
        <v>0x00</v>
      </c>
      <c r="AD48" s="1" t="str">
        <f t="shared" si="2"/>
        <v>0xBF</v>
      </c>
      <c r="AE48" s="1" t="str">
        <f t="shared" si="2"/>
        <v>0xBF</v>
      </c>
      <c r="AF48" s="1" t="str">
        <f t="shared" si="2"/>
        <v>0xBF</v>
      </c>
      <c r="AG48" s="1" t="str">
        <f t="shared" si="2"/>
        <v>0xBF</v>
      </c>
      <c r="AH48" s="1" t="str">
        <f t="shared" si="2"/>
        <v>0x00</v>
      </c>
      <c r="AI48" s="1" t="str">
        <f t="shared" si="2"/>
        <v>0x00</v>
      </c>
      <c r="AJ48" s="1" t="str">
        <f t="shared" si="2"/>
        <v>0xFF</v>
      </c>
      <c r="AK48" s="1" t="str">
        <f t="shared" si="2"/>
        <v>0xFF</v>
      </c>
      <c r="AL48" s="1" t="str">
        <f t="shared" si="2"/>
        <v>0xFF</v>
      </c>
    </row>
    <row r="49" spans="1:38">
      <c r="A49" t="s">
        <v>1</v>
      </c>
      <c r="B49" s="1" t="str">
        <f>"0x"&amp;MID(B$47,3,2)</f>
        <v>0x00</v>
      </c>
      <c r="C49" s="1" t="str">
        <f t="shared" ref="C49:AL49" si="3">"0x"&amp;MID(C$47,3,2)</f>
        <v>0x00</v>
      </c>
      <c r="D49" s="1" t="str">
        <f t="shared" si="3"/>
        <v>0x3F</v>
      </c>
      <c r="E49" s="1" t="str">
        <f t="shared" si="3"/>
        <v>0xC0</v>
      </c>
      <c r="F49" s="1" t="str">
        <f t="shared" si="3"/>
        <v>0xC0</v>
      </c>
      <c r="G49" s="1" t="str">
        <f t="shared" si="3"/>
        <v>0xC0</v>
      </c>
      <c r="H49" s="1" t="str">
        <f t="shared" si="3"/>
        <v>0xC0</v>
      </c>
      <c r="I49" s="1" t="str">
        <f t="shared" si="3"/>
        <v>0x3F</v>
      </c>
      <c r="J49" s="1" t="str">
        <f t="shared" si="3"/>
        <v>0xFF</v>
      </c>
      <c r="K49" s="1" t="str">
        <f t="shared" si="3"/>
        <v>0xFF</v>
      </c>
      <c r="L49" s="1" t="str">
        <f t="shared" si="3"/>
        <v>0x40</v>
      </c>
      <c r="M49" s="1" t="str">
        <f t="shared" si="3"/>
        <v>0x3F</v>
      </c>
      <c r="N49" s="1" t="str">
        <f t="shared" si="3"/>
        <v>0x3F</v>
      </c>
      <c r="O49" s="1" t="str">
        <f t="shared" si="3"/>
        <v>0x00</v>
      </c>
      <c r="P49" s="1" t="str">
        <f t="shared" si="3"/>
        <v>0x7F</v>
      </c>
      <c r="Q49" s="1" t="str">
        <f t="shared" si="3"/>
        <v>0x80</v>
      </c>
      <c r="R49" s="1" t="str">
        <f t="shared" si="3"/>
        <v>0x80</v>
      </c>
      <c r="S49" s="1" t="str">
        <f t="shared" si="3"/>
        <v>0x80</v>
      </c>
      <c r="T49" s="1" t="str">
        <f t="shared" si="3"/>
        <v>0x80</v>
      </c>
      <c r="U49" s="1" t="str">
        <f t="shared" si="3"/>
        <v>0x80</v>
      </c>
      <c r="V49" s="1" t="str">
        <f t="shared" si="3"/>
        <v>0x7F</v>
      </c>
      <c r="W49" s="1" t="str">
        <f t="shared" si="3"/>
        <v>0xBF</v>
      </c>
      <c r="X49" s="1" t="str">
        <f t="shared" si="3"/>
        <v>0xC0</v>
      </c>
      <c r="Y49" s="1" t="str">
        <f t="shared" si="3"/>
        <v>0x7F</v>
      </c>
      <c r="Z49" s="1" t="str">
        <f t="shared" si="3"/>
        <v>0xFF</v>
      </c>
      <c r="AA49" s="1" t="str">
        <f t="shared" si="3"/>
        <v>0xFF</v>
      </c>
      <c r="AB49" s="1" t="str">
        <f t="shared" si="3"/>
        <v>0x00</v>
      </c>
      <c r="AC49" s="1" t="str">
        <f t="shared" si="3"/>
        <v>0xBF</v>
      </c>
      <c r="AD49" s="1" t="str">
        <f t="shared" si="3"/>
        <v>0x40</v>
      </c>
      <c r="AE49" s="1" t="str">
        <f t="shared" si="3"/>
        <v>0x40</v>
      </c>
      <c r="AF49" s="1" t="str">
        <f t="shared" si="3"/>
        <v>0x40</v>
      </c>
      <c r="AG49" s="1" t="str">
        <f t="shared" si="3"/>
        <v>0x40</v>
      </c>
      <c r="AH49" s="1" t="str">
        <f t="shared" si="3"/>
        <v>0x00</v>
      </c>
      <c r="AI49" s="1" t="str">
        <f t="shared" si="3"/>
        <v>0xFF</v>
      </c>
      <c r="AJ49" s="1" t="str">
        <f t="shared" si="3"/>
        <v>0x00</v>
      </c>
      <c r="AK49" s="1" t="str">
        <f t="shared" si="3"/>
        <v>0x00</v>
      </c>
      <c r="AL49" s="1" t="str">
        <f t="shared" si="3"/>
        <v>0x00</v>
      </c>
    </row>
    <row r="50" spans="1:38">
      <c r="A50" t="s">
        <v>2</v>
      </c>
      <c r="B50" s="1" t="str">
        <f>"0x"&amp;MID(B$47,5,2)</f>
        <v>0x00</v>
      </c>
      <c r="C50" s="1" t="str">
        <f t="shared" ref="C50:AL50" si="4">"0x"&amp;MID(C$47,5,2)</f>
        <v>0x3F</v>
      </c>
      <c r="D50" s="1" t="str">
        <f t="shared" si="4"/>
        <v>0xC0</v>
      </c>
      <c r="E50" s="1" t="str">
        <f t="shared" si="4"/>
        <v>0x00</v>
      </c>
      <c r="F50" s="1" t="str">
        <f t="shared" si="4"/>
        <v>0x3F</v>
      </c>
      <c r="G50" s="1" t="str">
        <f t="shared" si="4"/>
        <v>0x7F</v>
      </c>
      <c r="H50" s="1" t="str">
        <f t="shared" si="4"/>
        <v>0xBF</v>
      </c>
      <c r="I50" s="1" t="str">
        <f t="shared" si="4"/>
        <v>0xFF</v>
      </c>
      <c r="J50" s="1" t="str">
        <f t="shared" si="4"/>
        <v>0xC0</v>
      </c>
      <c r="K50" s="1" t="str">
        <f t="shared" si="4"/>
        <v>0xFF</v>
      </c>
      <c r="L50" s="1" t="str">
        <f t="shared" si="4"/>
        <v>0x3F</v>
      </c>
      <c r="M50" s="1" t="str">
        <f t="shared" si="4"/>
        <v>0x80</v>
      </c>
      <c r="N50" s="1" t="str">
        <f t="shared" si="4"/>
        <v>0xBF</v>
      </c>
      <c r="O50" s="1" t="str">
        <f t="shared" si="4"/>
        <v>0x7F</v>
      </c>
      <c r="P50" s="1" t="str">
        <f t="shared" si="4"/>
        <v>0x80</v>
      </c>
      <c r="Q50" s="1" t="str">
        <f t="shared" si="4"/>
        <v>0x00</v>
      </c>
      <c r="R50" s="1" t="str">
        <f t="shared" si="4"/>
        <v>0x3F</v>
      </c>
      <c r="S50" s="1" t="str">
        <f t="shared" si="4"/>
        <v>0x7F</v>
      </c>
      <c r="T50" s="1" t="str">
        <f t="shared" si="4"/>
        <v>0xBF</v>
      </c>
      <c r="U50" s="1" t="str">
        <f t="shared" si="4"/>
        <v>0xFF</v>
      </c>
      <c r="V50" s="1" t="str">
        <f t="shared" si="4"/>
        <v>0xBF</v>
      </c>
      <c r="W50" s="1" t="str">
        <f t="shared" si="4"/>
        <v>0xC0</v>
      </c>
      <c r="X50" s="1" t="str">
        <f t="shared" si="4"/>
        <v>0x3F</v>
      </c>
      <c r="Y50" s="1" t="str">
        <f t="shared" si="4"/>
        <v>0xFF</v>
      </c>
      <c r="Z50" s="1" t="str">
        <f t="shared" si="4"/>
        <v>0x80</v>
      </c>
      <c r="AA50" s="1" t="str">
        <f t="shared" si="4"/>
        <v>0xFF</v>
      </c>
      <c r="AB50" s="1" t="str">
        <f t="shared" si="4"/>
        <v>0xBF</v>
      </c>
      <c r="AC50" s="1" t="str">
        <f t="shared" si="4"/>
        <v>0x40</v>
      </c>
      <c r="AD50" s="1" t="str">
        <f t="shared" si="4"/>
        <v>0x00</v>
      </c>
      <c r="AE50" s="1" t="str">
        <f t="shared" si="4"/>
        <v>0x3F</v>
      </c>
      <c r="AF50" s="1" t="str">
        <f t="shared" si="4"/>
        <v>0x7F</v>
      </c>
      <c r="AG50" s="1" t="str">
        <f t="shared" si="4"/>
        <v>0xBF</v>
      </c>
      <c r="AH50" s="1" t="str">
        <f t="shared" si="4"/>
        <v>0xFF</v>
      </c>
      <c r="AI50" s="1" t="str">
        <f t="shared" si="4"/>
        <v>0x00</v>
      </c>
      <c r="AJ50" s="1" t="str">
        <f t="shared" si="4"/>
        <v>0x00</v>
      </c>
      <c r="AK50" s="1" t="str">
        <f t="shared" si="4"/>
        <v>0x7F</v>
      </c>
      <c r="AL50" s="1" t="str">
        <f t="shared" si="4"/>
        <v>0xFF</v>
      </c>
    </row>
    <row r="51" spans="1:38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>
      <c r="A52" s="6" t="s">
        <v>67</v>
      </c>
      <c r="B52" t="str">
        <f t="shared" ref="B52:AL52" si="5">A52&amp;B41&amp;", "</f>
        <v xml:space="preserve">newArray(0, </v>
      </c>
      <c r="C52" t="str">
        <f t="shared" si="5"/>
        <v xml:space="preserve">newArray(0, 1, </v>
      </c>
      <c r="D52" t="str">
        <f t="shared" si="5"/>
        <v xml:space="preserve">newArray(0, 1, 4, </v>
      </c>
      <c r="E52" t="str">
        <f t="shared" si="5"/>
        <v xml:space="preserve">newArray(0, 1, 4, 2, </v>
      </c>
      <c r="F52" t="str">
        <f t="shared" si="5"/>
        <v xml:space="preserve">newArray(0, 1, 4, 2, 3, </v>
      </c>
      <c r="G52" t="str">
        <f t="shared" si="5"/>
        <v xml:space="preserve">newArray(0, 1, 4, 2, 3, 3, </v>
      </c>
      <c r="H52" t="str">
        <f t="shared" si="5"/>
        <v xml:space="preserve">newArray(0, 1, 4, 2, 3, 3, 1, </v>
      </c>
      <c r="I52" t="str">
        <f t="shared" si="5"/>
        <v xml:space="preserve">newArray(0, 1, 4, 2, 3, 3, 1, 4, </v>
      </c>
      <c r="J52" t="str">
        <f t="shared" si="5"/>
        <v xml:space="preserve">newArray(0, 1, 4, 2, 3, 3, 1, 4, 4, </v>
      </c>
      <c r="K52" t="str">
        <f t="shared" si="5"/>
        <v xml:space="preserve">newArray(0, 1, 4, 2, 3, 3, 1, 4, 4, 4, </v>
      </c>
      <c r="L52" t="str">
        <f t="shared" si="5"/>
        <v xml:space="preserve">newArray(0, 1, 4, 2, 3, 3, 1, 4, 4, 4, 1, </v>
      </c>
      <c r="M52" t="str">
        <f t="shared" si="5"/>
        <v xml:space="preserve">newArray(0, 1, 4, 2, 3, 3, 1, 4, 4, 4, 1, 4, </v>
      </c>
      <c r="N52" t="str">
        <f t="shared" si="5"/>
        <v xml:space="preserve">newArray(0, 1, 4, 2, 3, 3, 1, 4, 4, 4, 1, 4, 4, </v>
      </c>
      <c r="O52" t="str">
        <f t="shared" si="5"/>
        <v xml:space="preserve">newArray(0, 1, 4, 2, 3, 3, 1, 4, 4, 4, 1, 4, 4, 1, </v>
      </c>
      <c r="P52" t="str">
        <f t="shared" si="5"/>
        <v xml:space="preserve">newArray(0, 1, 4, 2, 3, 3, 1, 4, 4, 4, 1, 4, 4, 1, 4, </v>
      </c>
      <c r="Q52" t="str">
        <f t="shared" si="5"/>
        <v xml:space="preserve">newArray(0, 1, 4, 2, 3, 3, 1, 4, 4, 4, 1, 4, 4, 1, 4, 2, </v>
      </c>
      <c r="R52" t="str">
        <f t="shared" si="5"/>
        <v xml:space="preserve">newArray(0, 1, 4, 2, 3, 3, 1, 4, 4, 4, 1, 4, 4, 1, 4, 2, 3, </v>
      </c>
      <c r="S52" t="str">
        <f t="shared" si="5"/>
        <v xml:space="preserve">newArray(0, 1, 4, 2, 3, 3, 1, 4, 4, 4, 1, 4, 4, 1, 4, 2, 3, 3, </v>
      </c>
      <c r="T52" t="str">
        <f t="shared" si="5"/>
        <v xml:space="preserve">newArray(0, 1, 4, 2, 3, 3, 1, 4, 4, 4, 1, 4, 4, 1, 4, 2, 3, 3, 3, </v>
      </c>
      <c r="U52" t="str">
        <f t="shared" si="5"/>
        <v xml:space="preserve">newArray(0, 1, 4, 2, 3, 3, 1, 4, 4, 4, 1, 4, 4, 1, 4, 2, 3, 3, 3, 3, </v>
      </c>
      <c r="V52" t="str">
        <f t="shared" si="5"/>
        <v xml:space="preserve">newArray(0, 1, 4, 2, 3, 3, 1, 4, 4, 4, 1, 4, 4, 1, 4, 2, 3, 3, 3, 3, 4, </v>
      </c>
      <c r="W52" t="str">
        <f t="shared" si="5"/>
        <v xml:space="preserve">newArray(0, 1, 4, 2, 3, 3, 1, 4, 4, 4, 1, 4, 4, 1, 4, 2, 3, 3, 3, 3, 4, 2, </v>
      </c>
      <c r="X52" t="str">
        <f t="shared" si="5"/>
        <v xml:space="preserve">newArray(0, 1, 4, 2, 3, 3, 1, 4, 4, 4, 1, 4, 4, 1, 4, 2, 3, 3, 3, 3, 4, 2, 3, </v>
      </c>
      <c r="Y52" t="str">
        <f t="shared" si="5"/>
        <v xml:space="preserve">newArray(0, 1, 4, 2, 3, 3, 1, 4, 4, 4, 1, 4, 4, 1, 4, 2, 3, 3, 3, 3, 4, 2, 3, 4, </v>
      </c>
      <c r="Z52" t="str">
        <f t="shared" si="5"/>
        <v xml:space="preserve">newArray(0, 1, 4, 2, 3, 3, 1, 4, 4, 4, 1, 4, 4, 1, 4, 2, 3, 3, 3, 3, 4, 2, 3, 4, 4, </v>
      </c>
      <c r="AA52" t="str">
        <f t="shared" si="5"/>
        <v xml:space="preserve">newArray(0, 1, 4, 2, 3, 3, 1, 4, 4, 4, 1, 4, 4, 1, 4, 2, 3, 3, 3, 3, 4, 2, 3, 4, 4, 4, </v>
      </c>
      <c r="AB52" t="str">
        <f t="shared" si="5"/>
        <v xml:space="preserve">newArray(0, 1, 4, 2, 3, 3, 1, 4, 4, 4, 1, 4, 4, 1, 4, 2, 3, 3, 3, 3, 4, 2, 3, 4, 4, 4, 1, </v>
      </c>
      <c r="AC52" t="str">
        <f t="shared" si="5"/>
        <v xml:space="preserve">newArray(0, 1, 4, 2, 3, 3, 1, 4, 4, 4, 1, 4, 4, 1, 4, 2, 3, 3, 3, 3, 4, 2, 3, 4, 4, 4, 1, 4, </v>
      </c>
      <c r="AD52" t="str">
        <f t="shared" si="5"/>
        <v xml:space="preserve">newArray(0, 1, 4, 2, 3, 3, 1, 4, 4, 4, 1, 4, 4, 1, 4, 2, 3, 3, 3, 3, 4, 2, 3, 4, 4, 4, 1, 4, 2, </v>
      </c>
      <c r="AE52" t="str">
        <f t="shared" si="5"/>
        <v xml:space="preserve">newArray(0, 1, 4, 2, 3, 3, 1, 4, 4, 4, 1, 4, 4, 1, 4, 2, 3, 3, 3, 3, 4, 2, 3, 4, 4, 4, 1, 4, 2, 2, </v>
      </c>
      <c r="AF52" t="str">
        <f t="shared" si="5"/>
        <v xml:space="preserve">newArray(0, 1, 4, 2, 3, 3, 1, 4, 4, 4, 1, 4, 4, 1, 4, 2, 3, 3, 3, 3, 4, 2, 3, 4, 4, 4, 1, 4, 2, 2, 3, </v>
      </c>
      <c r="AG52" t="str">
        <f t="shared" si="5"/>
        <v xml:space="preserve">newArray(0, 1, 4, 2, 3, 3, 1, 4, 4, 4, 1, 4, 4, 1, 4, 2, 3, 3, 3, 3, 4, 2, 3, 4, 4, 4, 1, 4, 2, 2, 3, 3, </v>
      </c>
      <c r="AH52" t="str">
        <f t="shared" si="5"/>
        <v xml:space="preserve">newArray(0, 1, 4, 2, 3, 3, 1, 4, 4, 4, 1, 4, 4, 1, 4, 2, 3, 3, 3, 3, 4, 2, 3, 4, 4, 4, 1, 4, 2, 2, 3, 3, 1, </v>
      </c>
      <c r="AI52" t="str">
        <f t="shared" si="5"/>
        <v xml:space="preserve">newArray(0, 1, 4, 2, 3, 3, 1, 4, 4, 4, 1, 4, 4, 1, 4, 2, 3, 3, 3, 3, 4, 2, 3, 4, 4, 4, 1, 4, 2, 2, 3, 3, 1, 4, </v>
      </c>
      <c r="AJ52" t="str">
        <f t="shared" si="5"/>
        <v xml:space="preserve">newArray(0, 1, 4, 2, 3, 3, 1, 4, 4, 4, 1, 4, 4, 1, 4, 2, 3, 3, 3, 3, 4, 2, 3, 4, 4, 4, 1, 4, 2, 2, 3, 3, 1, 4, 2, </v>
      </c>
      <c r="AK52" t="str">
        <f t="shared" si="5"/>
        <v xml:space="preserve">newArray(0, 1, 4, 2, 3, 3, 1, 4, 4, 4, 1, 4, 4, 1, 4, 2, 3, 3, 3, 3, 4, 2, 3, 4, 4, 4, 1, 4, 2, 2, 3, 3, 1, 4, 2, 3, </v>
      </c>
      <c r="AL52" t="str">
        <f t="shared" si="5"/>
        <v xml:space="preserve">newArray(0, 1, 4, 2, 3, 3, 1, 4, 4, 4, 1, 4, 4, 1, 4, 2, 3, 3, 3, 3, 4, 2, 3, 4, 4, 4, 1, 4, 2, 2, 3, 3, 1, 4, 2, 3, 3, </v>
      </c>
    </row>
    <row r="53" spans="1:38">
      <c r="A53" s="6" t="s">
        <v>67</v>
      </c>
      <c r="B53" t="str">
        <f t="shared" ref="B53:AL53" si="6">A53&amp;B42&amp;", "</f>
        <v xml:space="preserve">newArray(0, </v>
      </c>
      <c r="C53" t="str">
        <f t="shared" si="6"/>
        <v xml:space="preserve">newArray(0, 0, </v>
      </c>
      <c r="D53" t="str">
        <f t="shared" si="6"/>
        <v xml:space="preserve">newArray(0, 0, 0, </v>
      </c>
      <c r="E53" t="str">
        <f t="shared" si="6"/>
        <v xml:space="preserve">newArray(0, 0, 0, 0, </v>
      </c>
      <c r="F53" t="str">
        <f t="shared" si="6"/>
        <v xml:space="preserve">newArray(0, 0, 0, 0, 0, </v>
      </c>
      <c r="G53" t="str">
        <f t="shared" si="6"/>
        <v xml:space="preserve">newArray(0, 0, 0, 0, 0, 1, </v>
      </c>
      <c r="H53" t="str">
        <f t="shared" si="6"/>
        <v xml:space="preserve">newArray(0, 0, 0, 0, 0, 1, 3, </v>
      </c>
      <c r="I53" t="str">
        <f t="shared" si="6"/>
        <v xml:space="preserve">newArray(0, 0, 0, 0, 0, 1, 3, 1, </v>
      </c>
      <c r="J53" t="str">
        <f t="shared" si="6"/>
        <v xml:space="preserve">newArray(0, 0, 0, 0, 0, 1, 3, 1, 2, </v>
      </c>
      <c r="K53" t="str">
        <f t="shared" si="6"/>
        <v xml:space="preserve">newArray(0, 0, 0, 0, 0, 1, 3, 1, 2, 3, </v>
      </c>
      <c r="L53" t="str">
        <f t="shared" si="6"/>
        <v xml:space="preserve">newArray(0, 0, 0, 0, 0, 1, 3, 1, 2, 3, 4, </v>
      </c>
      <c r="M53" t="str">
        <f t="shared" si="6"/>
        <v xml:space="preserve">newArray(0, 0, 0, 0, 0, 1, 3, 1, 2, 3, 4, 2, </v>
      </c>
      <c r="N53" t="str">
        <f t="shared" si="6"/>
        <v xml:space="preserve">newArray(0, 0, 0, 0, 0, 1, 3, 1, 2, 3, 4, 2, 3, </v>
      </c>
      <c r="O53" t="str">
        <f t="shared" si="6"/>
        <v xml:space="preserve">newArray(0, 0, 0, 0, 0, 1, 3, 1, 2, 3, 4, 2, 3, 1, </v>
      </c>
      <c r="P53" t="str">
        <f t="shared" si="6"/>
        <v xml:space="preserve">newArray(0, 0, 0, 0, 0, 1, 3, 1, 2, 3, 4, 2, 3, 1, 4, </v>
      </c>
      <c r="Q53" t="str">
        <f t="shared" si="6"/>
        <v xml:space="preserve">newArray(0, 0, 0, 0, 0, 1, 3, 1, 2, 3, 4, 2, 3, 1, 4, 2, </v>
      </c>
      <c r="R53" t="str">
        <f t="shared" si="6"/>
        <v xml:space="preserve">newArray(0, 0, 0, 0, 0, 1, 3, 1, 2, 3, 4, 2, 3, 1, 4, 2, 2, </v>
      </c>
      <c r="S53" t="str">
        <f t="shared" si="6"/>
        <v xml:space="preserve">newArray(0, 0, 0, 0, 0, 1, 3, 1, 2, 3, 4, 2, 3, 1, 4, 2, 2, 3, </v>
      </c>
      <c r="T53" t="str">
        <f t="shared" si="6"/>
        <v xml:space="preserve">newArray(0, 0, 0, 0, 0, 1, 3, 1, 2, 3, 4, 2, 3, 1, 4, 2, 2, 3, 1, </v>
      </c>
      <c r="U53" t="str">
        <f t="shared" si="6"/>
        <v xml:space="preserve">newArray(0, 0, 0, 0, 0, 1, 3, 1, 2, 3, 4, 2, 3, 1, 4, 2, 2, 3, 1, 1, </v>
      </c>
      <c r="V53" t="str">
        <f t="shared" si="6"/>
        <v xml:space="preserve">newArray(0, 0, 0, 0, 0, 1, 3, 1, 2, 3, 4, 2, 3, 1, 4, 2, 2, 3, 1, 1, 1, </v>
      </c>
      <c r="W53" t="str">
        <f t="shared" si="6"/>
        <v xml:space="preserve">newArray(0, 0, 0, 0, 0, 1, 3, 1, 2, 3, 4, 2, 3, 1, 4, 2, 2, 3, 1, 1, 1, 4, </v>
      </c>
      <c r="X53" t="str">
        <f t="shared" si="6"/>
        <v xml:space="preserve">newArray(0, 0, 0, 0, 0, 1, 3, 1, 2, 3, 4, 2, 3, 1, 4, 2, 2, 3, 1, 1, 1, 4, 4, </v>
      </c>
      <c r="Y53" t="str">
        <f t="shared" si="6"/>
        <v xml:space="preserve">newArray(0, 0, 0, 0, 0, 1, 3, 1, 2, 3, 4, 2, 3, 1, 4, 2, 2, 3, 1, 1, 1, 4, 4, 1, </v>
      </c>
      <c r="Z53" t="str">
        <f t="shared" si="6"/>
        <v xml:space="preserve">newArray(0, 0, 0, 0, 0, 1, 3, 1, 2, 3, 4, 2, 3, 1, 4, 2, 2, 3, 1, 1, 1, 4, 4, 1, 2, </v>
      </c>
      <c r="AA53" t="str">
        <f t="shared" si="6"/>
        <v xml:space="preserve">newArray(0, 0, 0, 0, 0, 1, 3, 1, 2, 3, 4, 2, 3, 1, 4, 2, 2, 3, 1, 1, 1, 4, 4, 1, 2, 3, </v>
      </c>
      <c r="AB53" t="str">
        <f t="shared" si="6"/>
        <v xml:space="preserve">newArray(0, 0, 0, 0, 0, 1, 3, 1, 2, 3, 4, 2, 3, 1, 4, 2, 2, 3, 1, 1, 1, 4, 4, 1, 2, 3, 1, </v>
      </c>
      <c r="AC53" t="str">
        <f t="shared" si="6"/>
        <v xml:space="preserve">newArray(0, 0, 0, 0, 0, 1, 3, 1, 2, 3, 4, 2, 3, 1, 4, 2, 2, 3, 1, 1, 1, 4, 4, 1, 2, 3, 1, 4, </v>
      </c>
      <c r="AD53" t="str">
        <f t="shared" si="6"/>
        <v xml:space="preserve">newArray(0, 0, 0, 0, 0, 1, 3, 1, 2, 3, 4, 2, 3, 1, 4, 2, 2, 3, 1, 1, 1, 4, 4, 1, 2, 3, 1, 4, 2, </v>
      </c>
      <c r="AE53" t="str">
        <f t="shared" si="6"/>
        <v xml:space="preserve">newArray(0, 0, 0, 0, 0, 1, 3, 1, 2, 3, 4, 2, 3, 1, 4, 2, 2, 3, 1, 1, 1, 4, 4, 1, 2, 3, 1, 4, 2, 3, </v>
      </c>
      <c r="AF53" t="str">
        <f t="shared" si="6"/>
        <v xml:space="preserve">newArray(0, 0, 0, 0, 0, 1, 3, 1, 2, 3, 4, 2, 3, 1, 4, 2, 2, 3, 1, 1, 1, 4, 4, 1, 2, 3, 1, 4, 2, 3, 2, </v>
      </c>
      <c r="AG53" t="str">
        <f t="shared" si="6"/>
        <v xml:space="preserve">newArray(0, 0, 0, 0, 0, 1, 3, 1, 2, 3, 4, 2, 3, 1, 4, 2, 2, 3, 1, 1, 1, 4, 4, 1, 2, 3, 1, 4, 2, 3, 2, 3, </v>
      </c>
      <c r="AH53" t="str">
        <f t="shared" si="6"/>
        <v xml:space="preserve">newArray(0, 0, 0, 0, 0, 1, 3, 1, 2, 3, 4, 2, 3, 1, 4, 2, 2, 3, 1, 1, 1, 4, 4, 1, 2, 3, 1, 4, 2, 3, 2, 3, 1, </v>
      </c>
      <c r="AI53" t="str">
        <f t="shared" si="6"/>
        <v xml:space="preserve">newArray(0, 0, 0, 0, 0, 1, 3, 1, 2, 3, 4, 2, 3, 1, 4, 2, 2, 3, 1, 1, 1, 4, 4, 1, 2, 3, 1, 4, 2, 3, 2, 3, 1, 4, </v>
      </c>
      <c r="AJ53" t="str">
        <f t="shared" si="6"/>
        <v xml:space="preserve">newArray(0, 0, 0, 0, 0, 1, 3, 1, 2, 3, 4, 2, 3, 1, 4, 2, 2, 3, 1, 1, 1, 4, 4, 1, 2, 3, 1, 4, 2, 3, 2, 3, 1, 4, 2, </v>
      </c>
      <c r="AK53" t="str">
        <f t="shared" si="6"/>
        <v xml:space="preserve">newArray(0, 0, 0, 0, 0, 1, 3, 1, 2, 3, 4, 2, 3, 1, 4, 2, 2, 3, 1, 1, 1, 4, 4, 1, 2, 3, 1, 4, 2, 3, 2, 3, 1, 4, 2, 2, </v>
      </c>
      <c r="AL53" t="str">
        <f t="shared" si="6"/>
        <v xml:space="preserve">newArray(0, 0, 0, 0, 0, 1, 3, 1, 2, 3, 4, 2, 3, 1, 4, 2, 2, 3, 1, 1, 1, 4, 4, 1, 2, 3, 1, 4, 2, 3, 2, 3, 1, 4, 2, 2, 3, </v>
      </c>
    </row>
    <row r="54" spans="1:38">
      <c r="A54" s="6" t="s">
        <v>67</v>
      </c>
      <c r="B54" t="str">
        <f t="shared" ref="B54:AL54" si="7">A54&amp;B43&amp;", "</f>
        <v xml:space="preserve">newArray(1, </v>
      </c>
      <c r="C54" t="str">
        <f t="shared" si="7"/>
        <v xml:space="preserve">newArray(1, 1, </v>
      </c>
      <c r="D54" t="str">
        <f t="shared" si="7"/>
        <v xml:space="preserve">newArray(1, 1, 1, </v>
      </c>
      <c r="E54" t="str">
        <f t="shared" si="7"/>
        <v xml:space="preserve">newArray(1, 1, 1, 1, </v>
      </c>
      <c r="F54" t="str">
        <f t="shared" si="7"/>
        <v xml:space="preserve">newArray(1, 1, 1, 1, 1, </v>
      </c>
      <c r="G54" t="str">
        <f t="shared" si="7"/>
        <v xml:space="preserve">newArray(1, 1, 1, 1, 1, 1, </v>
      </c>
      <c r="H54" t="str">
        <f t="shared" si="7"/>
        <v xml:space="preserve">newArray(1, 1, 1, 1, 1, 1, 2, </v>
      </c>
      <c r="I54" t="str">
        <f t="shared" si="7"/>
        <v xml:space="preserve">newArray(1, 1, 1, 1, 1, 1, 2, 1, </v>
      </c>
      <c r="J54" t="str">
        <f t="shared" si="7"/>
        <v xml:space="preserve">newArray(1, 1, 1, 1, 1, 1, 2, 1, 1, </v>
      </c>
      <c r="K54" t="str">
        <f t="shared" si="7"/>
        <v xml:space="preserve">newArray(1, 1, 1, 1, 1, 1, 2, 1, 1, 1, </v>
      </c>
      <c r="L54" t="str">
        <f t="shared" si="7"/>
        <v xml:space="preserve">newArray(1, 1, 1, 1, 1, 1, 2, 1, 1, 1, 2, </v>
      </c>
      <c r="M54" t="str">
        <f t="shared" si="7"/>
        <v xml:space="preserve">newArray(1, 1, 1, 1, 1, 1, 2, 1, 1, 1, 2, 2, </v>
      </c>
      <c r="N54" t="str">
        <f t="shared" si="7"/>
        <v xml:space="preserve">newArray(1, 1, 1, 1, 1, 1, 2, 1, 1, 1, 2, 2, 2, </v>
      </c>
      <c r="O54" t="str">
        <f t="shared" si="7"/>
        <v xml:space="preserve">newArray(1, 1, 1, 1, 1, 1, 2, 1, 1, 1, 2, 2, 2, 1, </v>
      </c>
      <c r="P54" t="str">
        <f t="shared" si="7"/>
        <v xml:space="preserve">newArray(1, 1, 1, 1, 1, 1, 2, 1, 1, 1, 2, 2, 2, 1, 1, </v>
      </c>
      <c r="Q54" t="str">
        <f t="shared" si="7"/>
        <v xml:space="preserve">newArray(1, 1, 1, 1, 1, 1, 2, 1, 1, 1, 2, 2, 2, 1, 1, 1, </v>
      </c>
      <c r="R54" t="str">
        <f t="shared" si="7"/>
        <v xml:space="preserve">newArray(1, 1, 1, 1, 1, 1, 2, 1, 1, 1, 2, 2, 2, 1, 1, 1, 1, </v>
      </c>
      <c r="S54" t="str">
        <f t="shared" si="7"/>
        <v xml:space="preserve">newArray(1, 1, 1, 1, 1, 1, 2, 1, 1, 1, 2, 2, 2, 1, 1, 1, 1, 1, </v>
      </c>
      <c r="T54" t="str">
        <f t="shared" si="7"/>
        <v xml:space="preserve">newArray(1, 1, 1, 1, 1, 1, 2, 1, 1, 1, 2, 2, 2, 1, 1, 1, 1, 1, 2, </v>
      </c>
      <c r="U54" t="str">
        <f t="shared" si="7"/>
        <v xml:space="preserve">newArray(1, 1, 1, 1, 1, 1, 2, 1, 1, 1, 2, 2, 2, 1, 1, 1, 1, 1, 2, 2, </v>
      </c>
      <c r="V54" t="str">
        <f t="shared" si="7"/>
        <v xml:space="preserve">newArray(1, 1, 1, 1, 1, 1, 2, 1, 1, 1, 2, 2, 2, 1, 1, 1, 1, 1, 2, 2, 2, </v>
      </c>
      <c r="W54" t="str">
        <f t="shared" si="7"/>
        <v xml:space="preserve">newArray(1, 1, 1, 1, 1, 1, 2, 1, 1, 1, 2, 2, 2, 1, 1, 1, 1, 1, 2, 2, 2, 2, </v>
      </c>
      <c r="X54" t="str">
        <f t="shared" si="7"/>
        <v xml:space="preserve">newArray(1, 1, 1, 1, 1, 1, 2, 1, 1, 1, 2, 2, 2, 1, 1, 1, 1, 1, 2, 2, 2, 2, 2, </v>
      </c>
      <c r="Y54" t="str">
        <f t="shared" si="7"/>
        <v xml:space="preserve">newArray(1, 1, 1, 1, 1, 1, 2, 1, 1, 1, 2, 2, 2, 1, 1, 1, 1, 1, 2, 2, 2, 2, 2, 2, </v>
      </c>
      <c r="Z54" t="str">
        <f t="shared" si="7"/>
        <v xml:space="preserve">newArray(1, 1, 1, 1, 1, 1, 2, 1, 1, 1, 2, 2, 2, 1, 1, 1, 1, 1, 2, 2, 2, 2, 2, 2, 2, </v>
      </c>
      <c r="AA54" t="str">
        <f t="shared" si="7"/>
        <v xml:space="preserve">newArray(1, 1, 1, 1, 1, 1, 2, 1, 1, 1, 2, 2, 2, 1, 1, 1, 1, 1, 2, 2, 2, 2, 2, 2, 2, 2, </v>
      </c>
      <c r="AB54" t="str">
        <f t="shared" si="7"/>
        <v xml:space="preserve">newArray(1, 1, 1, 1, 1, 1, 2, 1, 1, 1, 2, 2, 2, 1, 1, 1, 1, 1, 2, 2, 2, 2, 2, 2, 2, 2, 2, </v>
      </c>
      <c r="AC54" t="str">
        <f t="shared" si="7"/>
        <v xml:space="preserve">newArray(1, 1, 1, 1, 1, 1, 2, 1, 1, 1, 2, 2, 2, 1, 1, 1, 1, 1, 2, 2, 2, 2, 2, 2, 2, 2, 2, 2, </v>
      </c>
      <c r="AD54" t="str">
        <f t="shared" si="7"/>
        <v xml:space="preserve">newArray(1, 1, 1, 1, 1, 1, 2, 1, 1, 1, 2, 2, 2, 1, 1, 1, 1, 1, 2, 2, 2, 2, 2, 2, 2, 2, 2, 2, 2, </v>
      </c>
      <c r="AE54" t="str">
        <f t="shared" si="7"/>
        <v xml:space="preserve">newArray(1, 1, 1, 1, 1, 1, 2, 1, 1, 1, 2, 2, 2, 1, 1, 1, 1, 1, 2, 2, 2, 2, 2, 2, 2, 2, 2, 2, 2, 2, </v>
      </c>
      <c r="AF54" t="str">
        <f t="shared" si="7"/>
        <v xml:space="preserve">newArray(1, 1, 1, 1, 1, 1, 2, 1, 1, 1, 2, 2, 2, 1, 1, 1, 1, 1, 2, 2, 2, 2, 2, 2, 2, 2, 2, 2, 2, 2, 2, </v>
      </c>
      <c r="AG54" t="str">
        <f t="shared" si="7"/>
        <v xml:space="preserve">newArray(1, 1, 1, 1, 1, 1, 2, 1, 1, 1, 2, 2, 2, 1, 1, 1, 1, 1, 2, 2, 2, 2, 2, 2, 2, 2, 2, 2, 2, 2, 2, 2, </v>
      </c>
      <c r="AH54" t="str">
        <f t="shared" si="7"/>
        <v xml:space="preserve">newArray(1, 1, 1, 1, 1, 1, 2, 1, 1, 1, 2, 2, 2, 1, 1, 1, 1, 1, 2, 2, 2, 2, 2, 2, 2, 2, 2, 2, 2, 2, 2, 2, 2, </v>
      </c>
      <c r="AI54" t="str">
        <f t="shared" si="7"/>
        <v xml:space="preserve">newArray(1, 1, 1, 1, 1, 1, 2, 1, 1, 1, 2, 2, 2, 1, 1, 1, 1, 1, 2, 2, 2, 2, 2, 2, 2, 2, 2, 2, 2, 2, 2, 2, 2, 2, </v>
      </c>
      <c r="AJ54" t="str">
        <f t="shared" si="7"/>
        <v xml:space="preserve">newArray(1, 1, 1, 1, 1, 1, 2, 1, 1, 1, 2, 2, 2, 1, 1, 1, 1, 1, 2, 2, 2, 2, 2, 2, 2, 2, 2, 2, 2, 2, 2, 2, 2, 2, 2, </v>
      </c>
      <c r="AK54" t="str">
        <f t="shared" si="7"/>
        <v xml:space="preserve">newArray(1, 1, 1, 1, 1, 1, 2, 1, 1, 1, 2, 2, 2, 1, 1, 1, 1, 1, 2, 2, 2, 2, 2, 2, 2, 2, 2, 2, 2, 2, 2, 2, 2, 2, 2, 2, </v>
      </c>
      <c r="AL54" t="str">
        <f t="shared" si="7"/>
        <v xml:space="preserve">newArray(1, 1, 1, 1, 1, 1, 2, 1, 1, 1, 2, 2, 2, 1, 1, 1, 1, 1, 2, 2, 2, 2, 2, 2, 2, 2, 2, 2, 2, 2, 2, 2, 2, 2, 2, 2, 2, </v>
      </c>
    </row>
    <row r="55" spans="1:38">
      <c r="A55" s="6" t="s">
        <v>67</v>
      </c>
      <c r="B55" t="str">
        <f t="shared" ref="B55:AL55" si="8">A55&amp;B44&amp;", "</f>
        <v xml:space="preserve">newArray(1, </v>
      </c>
      <c r="C55" t="str">
        <f t="shared" si="8"/>
        <v xml:space="preserve">newArray(1, 1, </v>
      </c>
      <c r="D55" t="str">
        <f t="shared" si="8"/>
        <v xml:space="preserve">newArray(1, 1, 1, </v>
      </c>
      <c r="E55" t="str">
        <f t="shared" si="8"/>
        <v xml:space="preserve">newArray(1, 1, 1, 1, </v>
      </c>
      <c r="F55" t="str">
        <f t="shared" si="8"/>
        <v xml:space="preserve">newArray(1, 1, 1, 1, 1, </v>
      </c>
      <c r="G55" t="str">
        <f t="shared" si="8"/>
        <v xml:space="preserve">newArray(1, 1, 1, 1, 1, 1, </v>
      </c>
      <c r="H55" t="str">
        <f t="shared" si="8"/>
        <v xml:space="preserve">newArray(1, 1, 1, 1, 1, 1, 1, </v>
      </c>
      <c r="I55" t="str">
        <f t="shared" si="8"/>
        <v xml:space="preserve">newArray(1, 1, 1, 1, 1, 1, 1, 1, </v>
      </c>
      <c r="J55" t="str">
        <f t="shared" si="8"/>
        <v xml:space="preserve">newArray(1, 1, 1, 1, 1, 1, 1, 1, 1, </v>
      </c>
      <c r="K55" t="str">
        <f t="shared" si="8"/>
        <v xml:space="preserve">newArray(1, 1, 1, 1, 1, 1, 1, 1, 1, 1, </v>
      </c>
      <c r="L55" t="str">
        <f t="shared" si="8"/>
        <v xml:space="preserve">newArray(1, 1, 1, 1, 1, 1, 1, 1, 1, 1, 1, </v>
      </c>
      <c r="M55" t="str">
        <f t="shared" si="8"/>
        <v xml:space="preserve">newArray(1, 1, 1, 1, 1, 1, 1, 1, 1, 1, 1, 1, </v>
      </c>
      <c r="N55" t="str">
        <f t="shared" si="8"/>
        <v xml:space="preserve">newArray(1, 1, 1, 1, 1, 1, 1, 1, 1, 1, 1, 1, 1, </v>
      </c>
      <c r="O55" t="str">
        <f t="shared" si="8"/>
        <v xml:space="preserve">newArray(1, 1, 1, 1, 1, 1, 1, 1, 1, 1, 1, 1, 1, 1, </v>
      </c>
      <c r="P55" t="str">
        <f t="shared" si="8"/>
        <v xml:space="preserve">newArray(1, 1, 1, 1, 1, 1, 1, 1, 1, 1, 1, 1, 1, 1, 1, </v>
      </c>
      <c r="Q55" t="str">
        <f t="shared" si="8"/>
        <v xml:space="preserve">newArray(1, 1, 1, 1, 1, 1, 1, 1, 1, 1, 1, 1, 1, 1, 1, 1, </v>
      </c>
      <c r="R55" t="str">
        <f t="shared" si="8"/>
        <v xml:space="preserve">newArray(1, 1, 1, 1, 1, 1, 1, 1, 1, 1, 1, 1, 1, 1, 1, 1, 1, </v>
      </c>
      <c r="S55" t="str">
        <f t="shared" si="8"/>
        <v xml:space="preserve">newArray(1, 1, 1, 1, 1, 1, 1, 1, 1, 1, 1, 1, 1, 1, 1, 1, 1, 1, </v>
      </c>
      <c r="T55" t="str">
        <f t="shared" si="8"/>
        <v xml:space="preserve">newArray(1, 1, 1, 1, 1, 1, 1, 1, 1, 1, 1, 1, 1, 1, 1, 1, 1, 1, 1, </v>
      </c>
      <c r="U55" t="str">
        <f t="shared" si="8"/>
        <v xml:space="preserve">newArray(1, 1, 1, 1, 1, 1, 1, 1, 1, 1, 1, 1, 1, 1, 1, 1, 1, 1, 1, 2, </v>
      </c>
      <c r="V55" t="str">
        <f t="shared" si="8"/>
        <v xml:space="preserve">newArray(1, 1, 1, 1, 1, 1, 1, 1, 1, 1, 1, 1, 1, 1, 1, 1, 1, 1, 1, 2, 1, </v>
      </c>
      <c r="W55" t="str">
        <f t="shared" si="8"/>
        <v xml:space="preserve">newArray(1, 1, 1, 1, 1, 1, 1, 1, 1, 1, 1, 1, 1, 1, 1, 1, 1, 1, 1, 2, 1, 1, </v>
      </c>
      <c r="X55" t="str">
        <f t="shared" si="8"/>
        <v xml:space="preserve">newArray(1, 1, 1, 1, 1, 1, 1, 1, 1, 1, 1, 1, 1, 1, 1, 1, 1, 1, 1, 2, 1, 1, 1, </v>
      </c>
      <c r="Y55" t="str">
        <f t="shared" si="8"/>
        <v xml:space="preserve">newArray(1, 1, 1, 1, 1, 1, 1, 1, 1, 1, 1, 1, 1, 1, 1, 1, 1, 1, 1, 2, 1, 1, 1, 2, </v>
      </c>
      <c r="Z55" t="str">
        <f t="shared" si="8"/>
        <v xml:space="preserve">newArray(1, 1, 1, 1, 1, 1, 1, 1, 1, 1, 1, 1, 1, 1, 1, 1, 1, 1, 1, 2, 1, 1, 1, 2, 2, </v>
      </c>
      <c r="AA55" t="str">
        <f t="shared" si="8"/>
        <v xml:space="preserve">newArray(1, 1, 1, 1, 1, 1, 1, 1, 1, 1, 1, 1, 1, 1, 1, 1, 1, 1, 1, 2, 1, 1, 1, 2, 2, 2, </v>
      </c>
      <c r="AB55" t="str">
        <f t="shared" si="8"/>
        <v xml:space="preserve">newArray(1, 1, 1, 1, 1, 1, 1, 1, 1, 1, 1, 1, 1, 1, 1, 1, 1, 1, 1, 2, 1, 1, 1, 2, 2, 2, 1, </v>
      </c>
      <c r="AC55" t="str">
        <f t="shared" si="8"/>
        <v xml:space="preserve">newArray(1, 1, 1, 1, 1, 1, 1, 1, 1, 1, 1, 1, 1, 1, 1, 1, 1, 1, 1, 2, 1, 1, 1, 2, 2, 2, 1, 1, </v>
      </c>
      <c r="AD55" t="str">
        <f t="shared" si="8"/>
        <v xml:space="preserve">newArray(1, 1, 1, 1, 1, 1, 1, 1, 1, 1, 1, 1, 1, 1, 1, 1, 1, 1, 1, 2, 1, 1, 1, 2, 2, 2, 1, 1, 1, </v>
      </c>
      <c r="AE55" t="str">
        <f t="shared" si="8"/>
        <v xml:space="preserve">newArray(1, 1, 1, 1, 1, 1, 1, 1, 1, 1, 1, 1, 1, 1, 1, 1, 1, 1, 1, 2, 1, 1, 1, 2, 2, 2, 1, 1, 1, 1, </v>
      </c>
      <c r="AF55" t="str">
        <f t="shared" si="8"/>
        <v xml:space="preserve">newArray(1, 1, 1, 1, 1, 1, 1, 1, 1, 1, 1, 1, 1, 1, 1, 1, 1, 1, 1, 2, 1, 1, 1, 2, 2, 2, 1, 1, 1, 1, 1, </v>
      </c>
      <c r="AG55" t="str">
        <f t="shared" si="8"/>
        <v xml:space="preserve">newArray(1, 1, 1, 1, 1, 1, 1, 1, 1, 1, 1, 1, 1, 1, 1, 1, 1, 1, 1, 2, 1, 1, 1, 2, 2, 2, 1, 1, 1, 1, 1, 1, </v>
      </c>
      <c r="AH55" t="str">
        <f t="shared" si="8"/>
        <v xml:space="preserve">newArray(1, 1, 1, 1, 1, 1, 1, 1, 1, 1, 1, 1, 1, 1, 1, 1, 1, 1, 1, 2, 1, 1, 1, 2, 2, 2, 1, 1, 1, 1, 1, 1, 2, </v>
      </c>
      <c r="AI55" t="str">
        <f t="shared" si="8"/>
        <v xml:space="preserve">newArray(1, 1, 1, 1, 1, 1, 1, 1, 1, 1, 1, 1, 1, 1, 1, 1, 1, 1, 1, 2, 1, 1, 1, 2, 2, 2, 1, 1, 1, 1, 1, 1, 2, 2, </v>
      </c>
      <c r="AJ55" t="str">
        <f t="shared" si="8"/>
        <v xml:space="preserve">newArray(1, 1, 1, 1, 1, 1, 1, 1, 1, 1, 1, 1, 1, 1, 1, 1, 1, 1, 1, 2, 1, 1, 1, 2, 2, 2, 1, 1, 1, 1, 1, 1, 2, 2, 2, </v>
      </c>
      <c r="AK55" t="str">
        <f t="shared" si="8"/>
        <v xml:space="preserve">newArray(1, 1, 1, 1, 1, 1, 1, 1, 1, 1, 1, 1, 1, 1, 1, 1, 1, 1, 1, 2, 1, 1, 1, 2, 2, 2, 1, 1, 1, 1, 1, 1, 2, 2, 2, 2, </v>
      </c>
      <c r="AL55" t="str">
        <f t="shared" si="8"/>
        <v xml:space="preserve">newArray(1, 1, 1, 1, 1, 1, 1, 1, 1, 1, 1, 1, 1, 1, 1, 1, 1, 1, 1, 2, 1, 1, 1, 2, 2, 2, 1, 1, 1, 1, 1, 1, 2, 2, 2, 2, 2, </v>
      </c>
    </row>
    <row r="56" spans="1:38">
      <c r="A56" s="6" t="s">
        <v>67</v>
      </c>
      <c r="B56" t="str">
        <f>A56&amp;B46&amp;", "</f>
        <v xml:space="preserve">newArray(0x0, </v>
      </c>
      <c r="C56" t="str">
        <f t="shared" ref="C56:AL56" si="9">B56&amp;C46&amp;", "</f>
        <v xml:space="preserve">newArray(0x0, 0x3F, </v>
      </c>
      <c r="D56" t="str">
        <f t="shared" si="9"/>
        <v xml:space="preserve">newArray(0x0, 0x3F, 0x3FC0, </v>
      </c>
      <c r="E56" t="str">
        <f t="shared" si="9"/>
        <v xml:space="preserve">newArray(0x0, 0x3F, 0x3FC0, 0x3FC000, </v>
      </c>
      <c r="F56" t="str">
        <f t="shared" si="9"/>
        <v xml:space="preserve">newArray(0x0, 0x3F, 0x3FC0, 0x3FC000, 0x3FC03F, </v>
      </c>
      <c r="G56" t="str">
        <f t="shared" si="9"/>
        <v xml:space="preserve">newArray(0x0, 0x3F, 0x3FC0, 0x3FC000, 0x3FC03F, 0x3FC07F, </v>
      </c>
      <c r="H56" t="str">
        <f t="shared" si="9"/>
        <v xml:space="preserve">newArray(0x0, 0x3F, 0x3FC0, 0x3FC000, 0x3FC03F, 0x3FC07F, 0x3FC0BF, </v>
      </c>
      <c r="I56" t="str">
        <f t="shared" si="9"/>
        <v xml:space="preserve">newArray(0x0, 0x3F, 0x3FC0, 0x3FC000, 0x3FC03F, 0x3FC07F, 0x3FC0BF, 0x3FFF, </v>
      </c>
      <c r="J56" t="str">
        <f t="shared" si="9"/>
        <v xml:space="preserve">newArray(0x0, 0x3F, 0x3FC0, 0x3FC000, 0x3FC03F, 0x3FC07F, 0x3FC0BF, 0x3FFF, 0x3FFFC0, </v>
      </c>
      <c r="K56" t="str">
        <f t="shared" si="9"/>
        <v xml:space="preserve">newArray(0x0, 0x3F, 0x3FC0, 0x3FC000, 0x3FC03F, 0x3FC07F, 0x3FC0BF, 0x3FFF, 0x3FFFC0, 0x3FFFFF, </v>
      </c>
      <c r="L56" t="str">
        <f t="shared" si="9"/>
        <v xml:space="preserve">newArray(0x0, 0x3F, 0x3FC0, 0x3FC000, 0x3FC03F, 0x3FC07F, 0x3FC0BF, 0x3FFF, 0x3FFFC0, 0x3FFFFF, 0x403F, </v>
      </c>
      <c r="M56" t="str">
        <f t="shared" si="9"/>
        <v xml:space="preserve">newArray(0x0, 0x3F, 0x3FC0, 0x3FC000, 0x3FC03F, 0x3FC07F, 0x3FC0BF, 0x3FFF, 0x3FFFC0, 0x3FFFFF, 0x403F, 0x403F80, </v>
      </c>
      <c r="N56" t="str">
        <f t="shared" si="9"/>
        <v xml:space="preserve">newArray(0x0, 0x3F, 0x3FC0, 0x3FC000, 0x3FC03F, 0x3FC07F, 0x3FC0BF, 0x3FFF, 0x3FFFC0, 0x3FFFFF, 0x403F, 0x403F80, 0x403FBF, </v>
      </c>
      <c r="O56" t="str">
        <f t="shared" si="9"/>
        <v xml:space="preserve">newArray(0x0, 0x3F, 0x3FC0, 0x3FC000, 0x3FC03F, 0x3FC07F, 0x3FC0BF, 0x3FFF, 0x3FFFC0, 0x3FFFFF, 0x403F, 0x403F80, 0x403FBF, 0x7F, </v>
      </c>
      <c r="P56" t="str">
        <f t="shared" si="9"/>
        <v xml:space="preserve">newArray(0x0, 0x3F, 0x3FC0, 0x3FC000, 0x3FC03F, 0x3FC07F, 0x3FC0BF, 0x3FFF, 0x3FFFC0, 0x3FFFFF, 0x403F, 0x403F80, 0x403FBF, 0x7F, 0x7F80, </v>
      </c>
      <c r="Q56" t="str">
        <f t="shared" si="9"/>
        <v xml:space="preserve">newArray(0x0, 0x3F, 0x3FC0, 0x3FC000, 0x3FC03F, 0x3FC07F, 0x3FC0BF, 0x3FFF, 0x3FFFC0, 0x3FFFFF, 0x403F, 0x403F80, 0x403FBF, 0x7F, 0x7F80, 0x7F8000, </v>
      </c>
      <c r="R56" t="str">
        <f t="shared" si="9"/>
        <v xml:space="preserve">newArray(0x0, 0x3F, 0x3FC0, 0x3FC000, 0x3FC03F, 0x3FC07F, 0x3FC0BF, 0x3FFF, 0x3FFFC0, 0x3FFFFF, 0x403F, 0x403F80, 0x403FBF, 0x7F, 0x7F80, 0x7F8000, 0x7F803F, </v>
      </c>
      <c r="S56" t="str">
        <f t="shared" si="9"/>
        <v xml:space="preserve">newArray(0x0, 0x3F, 0x3FC0, 0x3FC000, 0x3FC03F, 0x3FC07F, 0x3FC0BF, 0x3FFF, 0x3FFFC0, 0x3FFFFF, 0x403F, 0x403F80, 0x403FBF, 0x7F, 0x7F80, 0x7F8000, 0x7F803F, 0x7F807F, </v>
      </c>
      <c r="T56" t="str">
        <f t="shared" si="9"/>
        <v xml:space="preserve">newArray(0x0, 0x3F, 0x3FC0, 0x3FC000, 0x3FC03F, 0x3FC07F, 0x3FC0BF, 0x3FFF, 0x3FFFC0, 0x3FFFFF, 0x403F, 0x403F80, 0x403FBF, 0x7F, 0x7F80, 0x7F8000, 0x7F803F, 0x7F807F, 0x7F80BF, </v>
      </c>
      <c r="U56" t="str">
        <f t="shared" si="9"/>
        <v xml:space="preserve">newArray(0x0, 0x3F, 0x3FC0, 0x3FC000, 0x3FC03F, 0x3FC07F, 0x3FC0BF, 0x3FFF, 0x3FFFC0, 0x3FFFFF, 0x403F, 0x403F80, 0x403FBF, 0x7F, 0x7F80, 0x7F8000, 0x7F803F, 0x7F807F, 0x7F80BF, 0x7F80FF, </v>
      </c>
      <c r="V56" t="str">
        <f t="shared" si="9"/>
        <v xml:space="preserve">newArray(0x0, 0x3F, 0x3FC0, 0x3FC000, 0x3FC03F, 0x3FC07F, 0x3FC0BF, 0x3FFF, 0x3FFFC0, 0x3FFFFF, 0x403F, 0x403F80, 0x403FBF, 0x7F, 0x7F80, 0x7F8000, 0x7F803F, 0x7F807F, 0x7F80BF, 0x7F80FF, 0x7FBF, </v>
      </c>
      <c r="W56" t="str">
        <f t="shared" si="9"/>
        <v xml:space="preserve">newArray(0x0, 0x3F, 0x3FC0, 0x3FC000, 0x3FC03F, 0x3FC07F, 0x3FC0BF, 0x3FFF, 0x3FFFC0, 0x3FFFFF, 0x403F, 0x403F80, 0x403FBF, 0x7F, 0x7F80, 0x7F8000, 0x7F803F, 0x7F807F, 0x7F80BF, 0x7F80FF, 0x7FBF, 0x7FBFC0, </v>
      </c>
      <c r="X56" t="str">
        <f t="shared" si="9"/>
        <v xml:space="preserve">newArray(0x0, 0x3F, 0x3FC0, 0x3FC000, 0x3FC03F, 0x3FC07F, 0x3FC0BF, 0x3FFF, 0x3FFFC0, 0x3FFFFF, 0x403F, 0x403F80, 0x403FBF, 0x7F, 0x7F80, 0x7F8000, 0x7F803F, 0x7F807F, 0x7F80BF, 0x7F80FF, 0x7FBF, 0x7FBFC0, 0x7FC03F, </v>
      </c>
      <c r="Y56" t="str">
        <f t="shared" si="9"/>
        <v xml:space="preserve">newArray(0x0, 0x3F, 0x3FC0, 0x3FC000, 0x3FC03F, 0x3FC07F, 0x3FC0BF, 0x3FFF, 0x3FFFC0, 0x3FFFFF, 0x403F, 0x403F80, 0x403FBF, 0x7F, 0x7F80, 0x7F8000, 0x7F803F, 0x7F807F, 0x7F80BF, 0x7F80FF, 0x7FBF, 0x7FBFC0, 0x7FC03F, 0x7FFF, </v>
      </c>
      <c r="Z56" t="str">
        <f t="shared" si="9"/>
        <v xml:space="preserve">newArray(0x0, 0x3F, 0x3FC0, 0x3FC000, 0x3FC03F, 0x3FC07F, 0x3FC0BF, 0x3FFF, 0x3FFFC0, 0x3FFFFF, 0x403F, 0x403F80, 0x403FBF, 0x7F, 0x7F80, 0x7F8000, 0x7F803F, 0x7F807F, 0x7F80BF, 0x7F80FF, 0x7FBF, 0x7FBFC0, 0x7FC03F, 0x7FFF, 0x7FFF80, </v>
      </c>
      <c r="AA56" t="str">
        <f t="shared" si="9"/>
        <v xml:space="preserve">newArray(0x0, 0x3F, 0x3FC0, 0x3FC000, 0x3FC03F, 0x3FC07F, 0x3FC0BF, 0x3FFF, 0x3FFFC0, 0x3FFFFF, 0x403F, 0x403F80, 0x403FBF, 0x7F, 0x7F80, 0x7F8000, 0x7F803F, 0x7F807F, 0x7F80BF, 0x7F80FF, 0x7FBF, 0x7FBFC0, 0x7FC03F, 0x7FFF, 0x7FFF80, 0x7FFFFF, </v>
      </c>
      <c r="AB56" t="str">
        <f t="shared" si="9"/>
        <v xml:space="preserve">newArray(0x0, 0x3F, 0x3FC0, 0x3FC000, 0x3FC03F, 0x3FC07F, 0x3FC0BF, 0x3FFF, 0x3FFFC0, 0x3FFFFF, 0x403F, 0x403F80, 0x403FBF, 0x7F, 0x7F80, 0x7F8000, 0x7F803F, 0x7F807F, 0x7F80BF, 0x7F80FF, 0x7FBF, 0x7FBFC0, 0x7FC03F, 0x7FFF, 0x7FFF80, 0x7FFFFF, 0xBF, </v>
      </c>
      <c r="AC56" t="str">
        <f t="shared" si="9"/>
        <v xml:space="preserve">newArray(0x0, 0x3F, 0x3FC0, 0x3FC000, 0x3FC03F, 0x3FC07F, 0x3FC0BF, 0x3FFF, 0x3FFFC0, 0x3FFFFF, 0x403F, 0x403F80, 0x403FBF, 0x7F, 0x7F80, 0x7F8000, 0x7F803F, 0x7F807F, 0x7F80BF, 0x7F80FF, 0x7FBF, 0x7FBFC0, 0x7FC03F, 0x7FFF, 0x7FFF80, 0x7FFFFF, 0xBF, 0xBF40, </v>
      </c>
      <c r="AD56" t="str">
        <f t="shared" si="9"/>
        <v xml:space="preserve">newArray(0x0, 0x3F, 0x3FC0, 0x3FC000, 0x3FC03F, 0x3FC07F, 0x3FC0BF, 0x3FFF, 0x3FFFC0, 0x3FFFFF, 0x403F, 0x403F80, 0x403FBF, 0x7F, 0x7F80, 0x7F8000, 0x7F803F, 0x7F807F, 0x7F80BF, 0x7F80FF, 0x7FBF, 0x7FBFC0, 0x7FC03F, 0x7FFF, 0x7FFF80, 0x7FFFFF, 0xBF, 0xBF40, 0xBF4000, </v>
      </c>
      <c r="AE56" t="str">
        <f t="shared" si="9"/>
        <v xml:space="preserve">newArray(0x0, 0x3F, 0x3FC0, 0x3FC000, 0x3FC03F, 0x3FC07F, 0x3FC0BF, 0x3FFF, 0x3FFFC0, 0x3FFFFF, 0x403F, 0x403F80, 0x403FBF, 0x7F, 0x7F80, 0x7F8000, 0x7F803F, 0x7F807F, 0x7F80BF, 0x7F80FF, 0x7FBF, 0x7FBFC0, 0x7FC03F, 0x7FFF, 0x7FFF80, 0x7FFFFF, 0xBF, 0xBF40, 0xBF4000, 0xBF403F, </v>
      </c>
      <c r="AF56" t="str">
        <f t="shared" si="9"/>
        <v xml:space="preserve">newArray(0x0, 0x3F, 0x3FC0, 0x3FC000, 0x3FC03F, 0x3FC07F, 0x3FC0BF, 0x3FFF, 0x3FFFC0, 0x3FFFFF, 0x403F, 0x403F80, 0x403FBF, 0x7F, 0x7F80, 0x7F8000, 0x7F803F, 0x7F807F, 0x7F80BF, 0x7F80FF, 0x7FBF, 0x7FBFC0, 0x7FC03F, 0x7FFF, 0x7FFF80, 0x7FFFFF, 0xBF, 0xBF40, 0xBF4000, 0xBF403F, 0xBF407F, </v>
      </c>
      <c r="AG56" t="str">
        <f t="shared" si="9"/>
        <v xml:space="preserve">newArray(0x0, 0x3F, 0x3FC0, 0x3FC000, 0x3FC03F, 0x3FC07F, 0x3FC0BF, 0x3FFF, 0x3FFFC0, 0x3FFFFF, 0x403F, 0x403F80, 0x403FBF, 0x7F, 0x7F80, 0x7F8000, 0x7F803F, 0x7F807F, 0x7F80BF, 0x7F80FF, 0x7FBF, 0x7FBFC0, 0x7FC03F, 0x7FFF, 0x7FFF80, 0x7FFFFF, 0xBF, 0xBF40, 0xBF4000, 0xBF403F, 0xBF407F, 0xBF40BF, </v>
      </c>
      <c r="AH56" t="str">
        <f t="shared" si="9"/>
        <v xml:space="preserve">newArray(0x0, 0x3F, 0x3FC0, 0x3FC000, 0x3FC03F, 0x3FC07F, 0x3FC0BF, 0x3FFF, 0x3FFFC0, 0x3FFFFF, 0x403F, 0x403F80, 0x403FBF, 0x7F, 0x7F80, 0x7F8000, 0x7F803F, 0x7F807F, 0x7F80BF, 0x7F80FF, 0x7FBF, 0x7FBFC0, 0x7FC03F, 0x7FFF, 0x7FFF80, 0x7FFFFF, 0xBF, 0xBF40, 0xBF4000, 0xBF403F, 0xBF407F, 0xBF40BF, 0xFF, </v>
      </c>
      <c r="AI56" t="str">
        <f t="shared" si="9"/>
        <v xml:space="preserve">newArray(0x0, 0x3F, 0x3FC0, 0x3FC000, 0x3FC03F, 0x3FC07F, 0x3FC0BF, 0x3FFF, 0x3FFFC0, 0x3FFFFF, 0x403F, 0x403F80, 0x403FBF, 0x7F, 0x7F80, 0x7F8000, 0x7F803F, 0x7F807F, 0x7F80BF, 0x7F80FF, 0x7FBF, 0x7FBFC0, 0x7FC03F, 0x7FFF, 0x7FFF80, 0x7FFFFF, 0xBF, 0xBF40, 0xBF4000, 0xBF403F, 0xBF407F, 0xBF40BF, 0xFF, 0xFF00, </v>
      </c>
      <c r="AJ56" t="str">
        <f t="shared" si="9"/>
        <v xml:space="preserve">newArray(0x0, 0x3F, 0x3FC0, 0x3FC000, 0x3FC03F, 0x3FC07F, 0x3FC0BF, 0x3FFF, 0x3FFFC0, 0x3FFFFF, 0x403F, 0x403F80, 0x403FBF, 0x7F, 0x7F80, 0x7F8000, 0x7F803F, 0x7F807F, 0x7F80BF, 0x7F80FF, 0x7FBF, 0x7FBFC0, 0x7FC03F, 0x7FFF, 0x7FFF80, 0x7FFFFF, 0xBF, 0xBF40, 0xBF4000, 0xBF403F, 0xBF407F, 0xBF40BF, 0xFF, 0xFF00, 0xFF0000, </v>
      </c>
      <c r="AK56" t="str">
        <f t="shared" si="9"/>
        <v xml:space="preserve">newArray(0x0, 0x3F, 0x3FC0, 0x3FC000, 0x3FC03F, 0x3FC07F, 0x3FC0BF, 0x3FFF, 0x3FFFC0, 0x3FFFFF, 0x403F, 0x403F80, 0x403FBF, 0x7F, 0x7F80, 0x7F8000, 0x7F803F, 0x7F807F, 0x7F80BF, 0x7F80FF, 0x7FBF, 0x7FBFC0, 0x7FC03F, 0x7FFF, 0x7FFF80, 0x7FFFFF, 0xBF, 0xBF40, 0xBF4000, 0xBF403F, 0xBF407F, 0xBF40BF, 0xFF, 0xFF00, 0xFF0000, 0xFF007F, </v>
      </c>
      <c r="AL56" t="str">
        <f t="shared" si="9"/>
        <v xml:space="preserve">newArray(0x0, 0x3F, 0x3FC0, 0x3FC000, 0x3FC03F, 0x3FC07F, 0x3FC0BF, 0x3FFF, 0x3FFFC0, 0x3FFFFF, 0x403F, 0x403F80, 0x403FBF, 0x7F, 0x7F80, 0x7F8000, 0x7F803F, 0x7F807F, 0x7F80BF, 0x7F80FF, 0x7FBF, 0x7FBFC0, 0x7FC03F, 0x7FFF, 0x7FFF80, 0x7FFFFF, 0xBF, 0xBF40, 0xBF4000, 0xBF403F, 0xBF407F, 0xBF40BF, 0xFF, 0xFF00, 0xFF0000, 0xFF007F, 0xFF00FF, </v>
      </c>
    </row>
    <row r="57" spans="1:3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</row>
    <row r="58" spans="1:38">
      <c r="A58" s="6" t="s">
        <v>67</v>
      </c>
      <c r="B58" t="str">
        <f>A58&amp;B48&amp;", "</f>
        <v xml:space="preserve">newArray(0x00, </v>
      </c>
      <c r="C58" t="str">
        <f t="shared" ref="C58:AL60" si="10">B58&amp;C48&amp;", "</f>
        <v xml:space="preserve">newArray(0x00, 0x00, </v>
      </c>
      <c r="D58" t="str">
        <f t="shared" si="10"/>
        <v xml:space="preserve">newArray(0x00, 0x00, 0x00, </v>
      </c>
      <c r="E58" t="str">
        <f t="shared" si="10"/>
        <v xml:space="preserve">newArray(0x00, 0x00, 0x00, 0x3F, </v>
      </c>
      <c r="F58" t="str">
        <f t="shared" si="10"/>
        <v xml:space="preserve">newArray(0x00, 0x00, 0x00, 0x3F, 0x3F, </v>
      </c>
      <c r="G58" t="str">
        <f t="shared" si="10"/>
        <v xml:space="preserve">newArray(0x00, 0x00, 0x00, 0x3F, 0x3F, 0x3F, </v>
      </c>
      <c r="H58" t="str">
        <f t="shared" si="10"/>
        <v xml:space="preserve">newArray(0x00, 0x00, 0x00, 0x3F, 0x3F, 0x3F, 0x3F, </v>
      </c>
      <c r="I58" t="str">
        <f t="shared" si="10"/>
        <v xml:space="preserve">newArray(0x00, 0x00, 0x00, 0x3F, 0x3F, 0x3F, 0x3F, 0x00, </v>
      </c>
      <c r="J58" t="str">
        <f t="shared" si="10"/>
        <v xml:space="preserve">newArray(0x00, 0x00, 0x00, 0x3F, 0x3F, 0x3F, 0x3F, 0x00, 0x3F, </v>
      </c>
      <c r="K58" t="str">
        <f t="shared" si="10"/>
        <v xml:space="preserve">newArray(0x00, 0x00, 0x00, 0x3F, 0x3F, 0x3F, 0x3F, 0x00, 0x3F, 0x3F, </v>
      </c>
      <c r="L58" t="str">
        <f t="shared" si="10"/>
        <v xml:space="preserve">newArray(0x00, 0x00, 0x00, 0x3F, 0x3F, 0x3F, 0x3F, 0x00, 0x3F, 0x3F, 0x00, </v>
      </c>
      <c r="M58" t="str">
        <f t="shared" si="10"/>
        <v xml:space="preserve">newArray(0x00, 0x00, 0x00, 0x3F, 0x3F, 0x3F, 0x3F, 0x00, 0x3F, 0x3F, 0x00, 0x40, </v>
      </c>
      <c r="N58" t="str">
        <f t="shared" si="10"/>
        <v xml:space="preserve">newArray(0x00, 0x00, 0x00, 0x3F, 0x3F, 0x3F, 0x3F, 0x00, 0x3F, 0x3F, 0x00, 0x40, 0x40, </v>
      </c>
      <c r="O58" t="str">
        <f t="shared" si="10"/>
        <v xml:space="preserve">newArray(0x00, 0x00, 0x00, 0x3F, 0x3F, 0x3F, 0x3F, 0x00, 0x3F, 0x3F, 0x00, 0x40, 0x40, 0x00, </v>
      </c>
      <c r="P58" t="str">
        <f t="shared" si="10"/>
        <v xml:space="preserve">newArray(0x00, 0x00, 0x00, 0x3F, 0x3F, 0x3F, 0x3F, 0x00, 0x3F, 0x3F, 0x00, 0x40, 0x40, 0x00, 0x00, </v>
      </c>
      <c r="Q58" t="str">
        <f t="shared" si="10"/>
        <v xml:space="preserve">newArray(0x00, 0x00, 0x00, 0x3F, 0x3F, 0x3F, 0x3F, 0x00, 0x3F, 0x3F, 0x00, 0x40, 0x40, 0x00, 0x00, 0x7F, </v>
      </c>
      <c r="R58" t="str">
        <f t="shared" si="10"/>
        <v xml:space="preserve">newArray(0x00, 0x00, 0x00, 0x3F, 0x3F, 0x3F, 0x3F, 0x00, 0x3F, 0x3F, 0x00, 0x40, 0x40, 0x00, 0x00, 0x7F, 0x7F, </v>
      </c>
      <c r="S58" t="str">
        <f t="shared" si="10"/>
        <v xml:space="preserve">newArray(0x00, 0x00, 0x00, 0x3F, 0x3F, 0x3F, 0x3F, 0x00, 0x3F, 0x3F, 0x00, 0x40, 0x40, 0x00, 0x00, 0x7F, 0x7F, 0x7F, </v>
      </c>
      <c r="T58" t="str">
        <f t="shared" si="10"/>
        <v xml:space="preserve">newArray(0x00, 0x00, 0x00, 0x3F, 0x3F, 0x3F, 0x3F, 0x00, 0x3F, 0x3F, 0x00, 0x40, 0x40, 0x00, 0x00, 0x7F, 0x7F, 0x7F, 0x7F, </v>
      </c>
      <c r="U58" t="str">
        <f t="shared" si="10"/>
        <v xml:space="preserve">newArray(0x00, 0x00, 0x00, 0x3F, 0x3F, 0x3F, 0x3F, 0x00, 0x3F, 0x3F, 0x00, 0x40, 0x40, 0x00, 0x00, 0x7F, 0x7F, 0x7F, 0x7F, 0x7F, </v>
      </c>
      <c r="V58" t="str">
        <f t="shared" si="10"/>
        <v xml:space="preserve">newArray(0x00, 0x00, 0x00, 0x3F, 0x3F, 0x3F, 0x3F, 0x00, 0x3F, 0x3F, 0x00, 0x40, 0x40, 0x00, 0x00, 0x7F, 0x7F, 0x7F, 0x7F, 0x7F, 0x00, </v>
      </c>
      <c r="W58" t="str">
        <f t="shared" si="10"/>
        <v xml:space="preserve">newArray(0x00, 0x00, 0x00, 0x3F, 0x3F, 0x3F, 0x3F, 0x00, 0x3F, 0x3F, 0x00, 0x40, 0x40, 0x00, 0x00, 0x7F, 0x7F, 0x7F, 0x7F, 0x7F, 0x00, 0x7F, </v>
      </c>
      <c r="X58" t="str">
        <f t="shared" si="10"/>
        <v xml:space="preserve">newArray(0x00, 0x00, 0x00, 0x3F, 0x3F, 0x3F, 0x3F, 0x00, 0x3F, 0x3F, 0x00, 0x40, 0x40, 0x00, 0x00, 0x7F, 0x7F, 0x7F, 0x7F, 0x7F, 0x00, 0x7F, 0x7F, </v>
      </c>
      <c r="Y58" t="str">
        <f t="shared" si="10"/>
        <v xml:space="preserve">newArray(0x00, 0x00, 0x00, 0x3F, 0x3F, 0x3F, 0x3F, 0x00, 0x3F, 0x3F, 0x00, 0x40, 0x40, 0x00, 0x00, 0x7F, 0x7F, 0x7F, 0x7F, 0x7F, 0x00, 0x7F, 0x7F, 0x00, </v>
      </c>
      <c r="Z58" t="str">
        <f t="shared" si="10"/>
        <v xml:space="preserve">newArray(0x00, 0x00, 0x00, 0x3F, 0x3F, 0x3F, 0x3F, 0x00, 0x3F, 0x3F, 0x00, 0x40, 0x40, 0x00, 0x00, 0x7F, 0x7F, 0x7F, 0x7F, 0x7F, 0x00, 0x7F, 0x7F, 0x00, 0x7F, </v>
      </c>
      <c r="AA58" t="str">
        <f t="shared" si="10"/>
        <v xml:space="preserve">newArray(0x00, 0x00, 0x00, 0x3F, 0x3F, 0x3F, 0x3F, 0x00, 0x3F, 0x3F, 0x00, 0x40, 0x40, 0x00, 0x00, 0x7F, 0x7F, 0x7F, 0x7F, 0x7F, 0x00, 0x7F, 0x7F, 0x00, 0x7F, 0x7F, </v>
      </c>
      <c r="AB58" t="str">
        <f t="shared" si="10"/>
        <v xml:space="preserve">newArray(0x00, 0x00, 0x00, 0x3F, 0x3F, 0x3F, 0x3F, 0x00, 0x3F, 0x3F, 0x00, 0x40, 0x40, 0x00, 0x00, 0x7F, 0x7F, 0x7F, 0x7F, 0x7F, 0x00, 0x7F, 0x7F, 0x00, 0x7F, 0x7F, 0x00, </v>
      </c>
      <c r="AC58" t="str">
        <f t="shared" si="10"/>
        <v xml:space="preserve">newArray(0x00, 0x00, 0x00, 0x3F, 0x3F, 0x3F, 0x3F, 0x00, 0x3F, 0x3F, 0x00, 0x40, 0x40, 0x00, 0x00, 0x7F, 0x7F, 0x7F, 0x7F, 0x7F, 0x00, 0x7F, 0x7F, 0x00, 0x7F, 0x7F, 0x00, 0x00, </v>
      </c>
      <c r="AD58" t="str">
        <f t="shared" si="10"/>
        <v xml:space="preserve">newArray(0x00, 0x00, 0x00, 0x3F, 0x3F, 0x3F, 0x3F, 0x00, 0x3F, 0x3F, 0x00, 0x40, 0x40, 0x00, 0x00, 0x7F, 0x7F, 0x7F, 0x7F, 0x7F, 0x00, 0x7F, 0x7F, 0x00, 0x7F, 0x7F, 0x00, 0x00, 0xBF, </v>
      </c>
      <c r="AE58" t="str">
        <f t="shared" si="10"/>
        <v xml:space="preserve">newArray(0x00, 0x00, 0x00, 0x3F, 0x3F, 0x3F, 0x3F, 0x00, 0x3F, 0x3F, 0x00, 0x40, 0x40, 0x00, 0x00, 0x7F, 0x7F, 0x7F, 0x7F, 0x7F, 0x00, 0x7F, 0x7F, 0x00, 0x7F, 0x7F, 0x00, 0x00, 0xBF, 0xBF, </v>
      </c>
      <c r="AF58" t="str">
        <f t="shared" si="10"/>
        <v xml:space="preserve">newArray(0x00, 0x00, 0x00, 0x3F, 0x3F, 0x3F, 0x3F, 0x00, 0x3F, 0x3F, 0x00, 0x40, 0x40, 0x00, 0x00, 0x7F, 0x7F, 0x7F, 0x7F, 0x7F, 0x00, 0x7F, 0x7F, 0x00, 0x7F, 0x7F, 0x00, 0x00, 0xBF, 0xBF, 0xBF, </v>
      </c>
      <c r="AG58" t="str">
        <f t="shared" si="10"/>
        <v xml:space="preserve">newArray(0x00, 0x00, 0x00, 0x3F, 0x3F, 0x3F, 0x3F, 0x00, 0x3F, 0x3F, 0x00, 0x40, 0x40, 0x00, 0x00, 0x7F, 0x7F, 0x7F, 0x7F, 0x7F, 0x00, 0x7F, 0x7F, 0x00, 0x7F, 0x7F, 0x00, 0x00, 0xBF, 0xBF, 0xBF, 0xBF, </v>
      </c>
      <c r="AH58" t="str">
        <f t="shared" si="10"/>
        <v xml:space="preserve">newArray(0x00, 0x00, 0x00, 0x3F, 0x3F, 0x3F, 0x3F, 0x00, 0x3F, 0x3F, 0x00, 0x40, 0x40, 0x00, 0x00, 0x7F, 0x7F, 0x7F, 0x7F, 0x7F, 0x00, 0x7F, 0x7F, 0x00, 0x7F, 0x7F, 0x00, 0x00, 0xBF, 0xBF, 0xBF, 0xBF, 0x00, </v>
      </c>
      <c r="AI58" t="str">
        <f t="shared" si="10"/>
        <v xml:space="preserve">newArray(0x00, 0x00, 0x00, 0x3F, 0x3F, 0x3F, 0x3F, 0x00, 0x3F, 0x3F, 0x00, 0x40, 0x40, 0x00, 0x00, 0x7F, 0x7F, 0x7F, 0x7F, 0x7F, 0x00, 0x7F, 0x7F, 0x00, 0x7F, 0x7F, 0x00, 0x00, 0xBF, 0xBF, 0xBF, 0xBF, 0x00, 0x00, </v>
      </c>
      <c r="AJ58" t="str">
        <f t="shared" si="10"/>
        <v xml:space="preserve">newArray(0x00, 0x00, 0x00, 0x3F, 0x3F, 0x3F, 0x3F, 0x00, 0x3F, 0x3F, 0x00, 0x40, 0x40, 0x00, 0x00, 0x7F, 0x7F, 0x7F, 0x7F, 0x7F, 0x00, 0x7F, 0x7F, 0x00, 0x7F, 0x7F, 0x00, 0x00, 0xBF, 0xBF, 0xBF, 0xBF, 0x00, 0x00, 0xFF, </v>
      </c>
      <c r="AK58" t="str">
        <f t="shared" si="10"/>
        <v xml:space="preserve">newArray(0x00, 0x00, 0x00, 0x3F, 0x3F, 0x3F, 0x3F, 0x00, 0x3F, 0x3F, 0x00, 0x40, 0x40, 0x00, 0x00, 0x7F, 0x7F, 0x7F, 0x7F, 0x7F, 0x00, 0x7F, 0x7F, 0x00, 0x7F, 0x7F, 0x00, 0x00, 0xBF, 0xBF, 0xBF, 0xBF, 0x00, 0x00, 0xFF, 0xFF, </v>
      </c>
      <c r="AL58" t="str">
        <f t="shared" si="10"/>
        <v xml:space="preserve">newArray(0x00, 0x00, 0x00, 0x3F, 0x3F, 0x3F, 0x3F, 0x00, 0x3F, 0x3F, 0x00, 0x40, 0x40, 0x00, 0x00, 0x7F, 0x7F, 0x7F, 0x7F, 0x7F, 0x00, 0x7F, 0x7F, 0x00, 0x7F, 0x7F, 0x00, 0x00, 0xBF, 0xBF, 0xBF, 0xBF, 0x00, 0x00, 0xFF, 0xFF, 0xFF, </v>
      </c>
    </row>
    <row r="59" spans="1:38">
      <c r="A59" s="6" t="s">
        <v>67</v>
      </c>
      <c r="B59" t="str">
        <f t="shared" ref="B59:Q60" si="11">A59&amp;B49&amp;", "</f>
        <v xml:space="preserve">newArray(0x00, </v>
      </c>
      <c r="C59" t="str">
        <f t="shared" si="11"/>
        <v xml:space="preserve">newArray(0x00, 0x00, </v>
      </c>
      <c r="D59" t="str">
        <f t="shared" si="11"/>
        <v xml:space="preserve">newArray(0x00, 0x00, 0x3F, </v>
      </c>
      <c r="E59" t="str">
        <f t="shared" si="11"/>
        <v xml:space="preserve">newArray(0x00, 0x00, 0x3F, 0xC0, </v>
      </c>
      <c r="F59" t="str">
        <f t="shared" si="11"/>
        <v xml:space="preserve">newArray(0x00, 0x00, 0x3F, 0xC0, 0xC0, </v>
      </c>
      <c r="G59" t="str">
        <f t="shared" si="11"/>
        <v xml:space="preserve">newArray(0x00, 0x00, 0x3F, 0xC0, 0xC0, 0xC0, </v>
      </c>
      <c r="H59" t="str">
        <f t="shared" si="11"/>
        <v xml:space="preserve">newArray(0x00, 0x00, 0x3F, 0xC0, 0xC0, 0xC0, 0xC0, </v>
      </c>
      <c r="I59" t="str">
        <f t="shared" si="11"/>
        <v xml:space="preserve">newArray(0x00, 0x00, 0x3F, 0xC0, 0xC0, 0xC0, 0xC0, 0x3F, </v>
      </c>
      <c r="J59" t="str">
        <f t="shared" si="11"/>
        <v xml:space="preserve">newArray(0x00, 0x00, 0x3F, 0xC0, 0xC0, 0xC0, 0xC0, 0x3F, 0xFF, </v>
      </c>
      <c r="K59" t="str">
        <f t="shared" si="11"/>
        <v xml:space="preserve">newArray(0x00, 0x00, 0x3F, 0xC0, 0xC0, 0xC0, 0xC0, 0x3F, 0xFF, 0xFF, </v>
      </c>
      <c r="L59" t="str">
        <f t="shared" si="11"/>
        <v xml:space="preserve">newArray(0x00, 0x00, 0x3F, 0xC0, 0xC0, 0xC0, 0xC0, 0x3F, 0xFF, 0xFF, 0x40, </v>
      </c>
      <c r="M59" t="str">
        <f t="shared" si="11"/>
        <v xml:space="preserve">newArray(0x00, 0x00, 0x3F, 0xC0, 0xC0, 0xC0, 0xC0, 0x3F, 0xFF, 0xFF, 0x40, 0x3F, </v>
      </c>
      <c r="N59" t="str">
        <f t="shared" si="11"/>
        <v xml:space="preserve">newArray(0x00, 0x00, 0x3F, 0xC0, 0xC0, 0xC0, 0xC0, 0x3F, 0xFF, 0xFF, 0x40, 0x3F, 0x3F, </v>
      </c>
      <c r="O59" t="str">
        <f t="shared" si="11"/>
        <v xml:space="preserve">newArray(0x00, 0x00, 0x3F, 0xC0, 0xC0, 0xC0, 0xC0, 0x3F, 0xFF, 0xFF, 0x40, 0x3F, 0x3F, 0x00, </v>
      </c>
      <c r="P59" t="str">
        <f t="shared" si="11"/>
        <v xml:space="preserve">newArray(0x00, 0x00, 0x3F, 0xC0, 0xC0, 0xC0, 0xC0, 0x3F, 0xFF, 0xFF, 0x40, 0x3F, 0x3F, 0x00, 0x7F, </v>
      </c>
      <c r="Q59" t="str">
        <f t="shared" si="11"/>
        <v xml:space="preserve">newArray(0x00, 0x00, 0x3F, 0xC0, 0xC0, 0xC0, 0xC0, 0x3F, 0xFF, 0xFF, 0x40, 0x3F, 0x3F, 0x00, 0x7F, 0x80, </v>
      </c>
      <c r="R59" t="str">
        <f t="shared" si="10"/>
        <v xml:space="preserve">newArray(0x00, 0x00, 0x3F, 0xC0, 0xC0, 0xC0, 0xC0, 0x3F, 0xFF, 0xFF, 0x40, 0x3F, 0x3F, 0x00, 0x7F, 0x80, 0x80, </v>
      </c>
      <c r="S59" t="str">
        <f t="shared" si="10"/>
        <v xml:space="preserve">newArray(0x00, 0x00, 0x3F, 0xC0, 0xC0, 0xC0, 0xC0, 0x3F, 0xFF, 0xFF, 0x40, 0x3F, 0x3F, 0x00, 0x7F, 0x80, 0x80, 0x80, </v>
      </c>
      <c r="T59" t="str">
        <f t="shared" si="10"/>
        <v xml:space="preserve">newArray(0x00, 0x00, 0x3F, 0xC0, 0xC0, 0xC0, 0xC0, 0x3F, 0xFF, 0xFF, 0x40, 0x3F, 0x3F, 0x00, 0x7F, 0x80, 0x80, 0x80, 0x80, </v>
      </c>
      <c r="U59" t="str">
        <f t="shared" si="10"/>
        <v xml:space="preserve">newArray(0x00, 0x00, 0x3F, 0xC0, 0xC0, 0xC0, 0xC0, 0x3F, 0xFF, 0xFF, 0x40, 0x3F, 0x3F, 0x00, 0x7F, 0x80, 0x80, 0x80, 0x80, 0x80, </v>
      </c>
      <c r="V59" t="str">
        <f t="shared" si="10"/>
        <v xml:space="preserve">newArray(0x00, 0x00, 0x3F, 0xC0, 0xC0, 0xC0, 0xC0, 0x3F, 0xFF, 0xFF, 0x40, 0x3F, 0x3F, 0x00, 0x7F, 0x80, 0x80, 0x80, 0x80, 0x80, 0x7F, </v>
      </c>
      <c r="W59" t="str">
        <f t="shared" si="10"/>
        <v xml:space="preserve">newArray(0x00, 0x00, 0x3F, 0xC0, 0xC0, 0xC0, 0xC0, 0x3F, 0xFF, 0xFF, 0x40, 0x3F, 0x3F, 0x00, 0x7F, 0x80, 0x80, 0x80, 0x80, 0x80, 0x7F, 0xBF, </v>
      </c>
      <c r="X59" t="str">
        <f t="shared" si="10"/>
        <v xml:space="preserve">newArray(0x00, 0x00, 0x3F, 0xC0, 0xC0, 0xC0, 0xC0, 0x3F, 0xFF, 0xFF, 0x40, 0x3F, 0x3F, 0x00, 0x7F, 0x80, 0x80, 0x80, 0x80, 0x80, 0x7F, 0xBF, 0xC0, </v>
      </c>
      <c r="Y59" t="str">
        <f t="shared" si="10"/>
        <v xml:space="preserve">newArray(0x00, 0x00, 0x3F, 0xC0, 0xC0, 0xC0, 0xC0, 0x3F, 0xFF, 0xFF, 0x40, 0x3F, 0x3F, 0x00, 0x7F, 0x80, 0x80, 0x80, 0x80, 0x80, 0x7F, 0xBF, 0xC0, 0x7F, </v>
      </c>
      <c r="Z59" t="str">
        <f t="shared" si="10"/>
        <v xml:space="preserve">newArray(0x00, 0x00, 0x3F, 0xC0, 0xC0, 0xC0, 0xC0, 0x3F, 0xFF, 0xFF, 0x40, 0x3F, 0x3F, 0x00, 0x7F, 0x80, 0x80, 0x80, 0x80, 0x80, 0x7F, 0xBF, 0xC0, 0x7F, 0xFF, </v>
      </c>
      <c r="AA59" t="str">
        <f t="shared" si="10"/>
        <v xml:space="preserve">newArray(0x00, 0x00, 0x3F, 0xC0, 0xC0, 0xC0, 0xC0, 0x3F, 0xFF, 0xFF, 0x40, 0x3F, 0x3F, 0x00, 0x7F, 0x80, 0x80, 0x80, 0x80, 0x80, 0x7F, 0xBF, 0xC0, 0x7F, 0xFF, 0xFF, </v>
      </c>
      <c r="AB59" t="str">
        <f t="shared" si="10"/>
        <v xml:space="preserve">newArray(0x00, 0x00, 0x3F, 0xC0, 0xC0, 0xC0, 0xC0, 0x3F, 0xFF, 0xFF, 0x40, 0x3F, 0x3F, 0x00, 0x7F, 0x80, 0x80, 0x80, 0x80, 0x80, 0x7F, 0xBF, 0xC0, 0x7F, 0xFF, 0xFF, 0x00, </v>
      </c>
      <c r="AC59" t="str">
        <f t="shared" si="10"/>
        <v xml:space="preserve">newArray(0x00, 0x00, 0x3F, 0xC0, 0xC0, 0xC0, 0xC0, 0x3F, 0xFF, 0xFF, 0x40, 0x3F, 0x3F, 0x00, 0x7F, 0x80, 0x80, 0x80, 0x80, 0x80, 0x7F, 0xBF, 0xC0, 0x7F, 0xFF, 0xFF, 0x00, 0xBF, </v>
      </c>
      <c r="AD59" t="str">
        <f t="shared" si="10"/>
        <v xml:space="preserve">newArray(0x00, 0x00, 0x3F, 0xC0, 0xC0, 0xC0, 0xC0, 0x3F, 0xFF, 0xFF, 0x40, 0x3F, 0x3F, 0x00, 0x7F, 0x80, 0x80, 0x80, 0x80, 0x80, 0x7F, 0xBF, 0xC0, 0x7F, 0xFF, 0xFF, 0x00, 0xBF, 0x40, </v>
      </c>
      <c r="AE59" t="str">
        <f t="shared" si="10"/>
        <v xml:space="preserve">newArray(0x00, 0x00, 0x3F, 0xC0, 0xC0, 0xC0, 0xC0, 0x3F, 0xFF, 0xFF, 0x40, 0x3F, 0x3F, 0x00, 0x7F, 0x80, 0x80, 0x80, 0x80, 0x80, 0x7F, 0xBF, 0xC0, 0x7F, 0xFF, 0xFF, 0x00, 0xBF, 0x40, 0x40, </v>
      </c>
      <c r="AF59" t="str">
        <f t="shared" si="10"/>
        <v xml:space="preserve">newArray(0x00, 0x00, 0x3F, 0xC0, 0xC0, 0xC0, 0xC0, 0x3F, 0xFF, 0xFF, 0x40, 0x3F, 0x3F, 0x00, 0x7F, 0x80, 0x80, 0x80, 0x80, 0x80, 0x7F, 0xBF, 0xC0, 0x7F, 0xFF, 0xFF, 0x00, 0xBF, 0x40, 0x40, 0x40, </v>
      </c>
      <c r="AG59" t="str">
        <f t="shared" si="10"/>
        <v xml:space="preserve">newArray(0x00, 0x00, 0x3F, 0xC0, 0xC0, 0xC0, 0xC0, 0x3F, 0xFF, 0xFF, 0x40, 0x3F, 0x3F, 0x00, 0x7F, 0x80, 0x80, 0x80, 0x80, 0x80, 0x7F, 0xBF, 0xC0, 0x7F, 0xFF, 0xFF, 0x00, 0xBF, 0x40, 0x40, 0x40, 0x40, </v>
      </c>
      <c r="AH59" t="str">
        <f t="shared" si="10"/>
        <v xml:space="preserve">newArray(0x00, 0x00, 0x3F, 0xC0, 0xC0, 0xC0, 0xC0, 0x3F, 0xFF, 0xFF, 0x40, 0x3F, 0x3F, 0x00, 0x7F, 0x80, 0x80, 0x80, 0x80, 0x80, 0x7F, 0xBF, 0xC0, 0x7F, 0xFF, 0xFF, 0x00, 0xBF, 0x40, 0x40, 0x40, 0x40, 0x00, </v>
      </c>
      <c r="AI59" t="str">
        <f t="shared" si="10"/>
        <v xml:space="preserve">newArray(0x00, 0x00, 0x3F, 0xC0, 0xC0, 0xC0, 0xC0, 0x3F, 0xFF, 0xFF, 0x40, 0x3F, 0x3F, 0x00, 0x7F, 0x80, 0x80, 0x80, 0x80, 0x80, 0x7F, 0xBF, 0xC0, 0x7F, 0xFF, 0xFF, 0x00, 0xBF, 0x40, 0x40, 0x40, 0x40, 0x00, 0xFF, </v>
      </c>
      <c r="AJ59" t="str">
        <f t="shared" si="10"/>
        <v xml:space="preserve">newArray(0x00, 0x00, 0x3F, 0xC0, 0xC0, 0xC0, 0xC0, 0x3F, 0xFF, 0xFF, 0x40, 0x3F, 0x3F, 0x00, 0x7F, 0x80, 0x80, 0x80, 0x80, 0x80, 0x7F, 0xBF, 0xC0, 0x7F, 0xFF, 0xFF, 0x00, 0xBF, 0x40, 0x40, 0x40, 0x40, 0x00, 0xFF, 0x00, </v>
      </c>
      <c r="AK59" t="str">
        <f t="shared" si="10"/>
        <v xml:space="preserve">newArray(0x00, 0x00, 0x3F, 0xC0, 0xC0, 0xC0, 0xC0, 0x3F, 0xFF, 0xFF, 0x40, 0x3F, 0x3F, 0x00, 0x7F, 0x80, 0x80, 0x80, 0x80, 0x80, 0x7F, 0xBF, 0xC0, 0x7F, 0xFF, 0xFF, 0x00, 0xBF, 0x40, 0x40, 0x40, 0x40, 0x00, 0xFF, 0x00, 0x00, </v>
      </c>
      <c r="AL59" t="str">
        <f t="shared" si="10"/>
        <v xml:space="preserve">newArray(0x00, 0x00, 0x3F, 0xC0, 0xC0, 0xC0, 0xC0, 0x3F, 0xFF, 0xFF, 0x40, 0x3F, 0x3F, 0x00, 0x7F, 0x80, 0x80, 0x80, 0x80, 0x80, 0x7F, 0xBF, 0xC0, 0x7F, 0xFF, 0xFF, 0x00, 0xBF, 0x40, 0x40, 0x40, 0x40, 0x00, 0xFF, 0x00, 0x00, 0x00, </v>
      </c>
    </row>
    <row r="60" spans="1:38">
      <c r="A60" s="6" t="s">
        <v>67</v>
      </c>
      <c r="B60" t="str">
        <f t="shared" si="11"/>
        <v xml:space="preserve">newArray(0x00, </v>
      </c>
      <c r="C60" t="str">
        <f t="shared" si="10"/>
        <v xml:space="preserve">newArray(0x00, 0x3F, </v>
      </c>
      <c r="D60" t="str">
        <f t="shared" si="10"/>
        <v xml:space="preserve">newArray(0x00, 0x3F, 0xC0, </v>
      </c>
      <c r="E60" t="str">
        <f t="shared" si="10"/>
        <v xml:space="preserve">newArray(0x00, 0x3F, 0xC0, 0x00, </v>
      </c>
      <c r="F60" t="str">
        <f t="shared" si="10"/>
        <v xml:space="preserve">newArray(0x00, 0x3F, 0xC0, 0x00, 0x3F, </v>
      </c>
      <c r="G60" t="str">
        <f t="shared" si="10"/>
        <v xml:space="preserve">newArray(0x00, 0x3F, 0xC0, 0x00, 0x3F, 0x7F, </v>
      </c>
      <c r="H60" t="str">
        <f t="shared" si="10"/>
        <v xml:space="preserve">newArray(0x00, 0x3F, 0xC0, 0x00, 0x3F, 0x7F, 0xBF, </v>
      </c>
      <c r="I60" t="str">
        <f t="shared" si="10"/>
        <v xml:space="preserve">newArray(0x00, 0x3F, 0xC0, 0x00, 0x3F, 0x7F, 0xBF, 0xFF, </v>
      </c>
      <c r="J60" t="str">
        <f t="shared" si="10"/>
        <v xml:space="preserve">newArray(0x00, 0x3F, 0xC0, 0x00, 0x3F, 0x7F, 0xBF, 0xFF, 0xC0, </v>
      </c>
      <c r="K60" t="str">
        <f t="shared" si="10"/>
        <v xml:space="preserve">newArray(0x00, 0x3F, 0xC0, 0x00, 0x3F, 0x7F, 0xBF, 0xFF, 0xC0, 0xFF, </v>
      </c>
      <c r="L60" t="str">
        <f t="shared" si="10"/>
        <v xml:space="preserve">newArray(0x00, 0x3F, 0xC0, 0x00, 0x3F, 0x7F, 0xBF, 0xFF, 0xC0, 0xFF, 0x3F, </v>
      </c>
      <c r="M60" t="str">
        <f t="shared" si="10"/>
        <v xml:space="preserve">newArray(0x00, 0x3F, 0xC0, 0x00, 0x3F, 0x7F, 0xBF, 0xFF, 0xC0, 0xFF, 0x3F, 0x80, </v>
      </c>
      <c r="N60" t="str">
        <f t="shared" si="10"/>
        <v xml:space="preserve">newArray(0x00, 0x3F, 0xC0, 0x00, 0x3F, 0x7F, 0xBF, 0xFF, 0xC0, 0xFF, 0x3F, 0x80, 0xBF, </v>
      </c>
      <c r="O60" t="str">
        <f t="shared" si="10"/>
        <v xml:space="preserve">newArray(0x00, 0x3F, 0xC0, 0x00, 0x3F, 0x7F, 0xBF, 0xFF, 0xC0, 0xFF, 0x3F, 0x80, 0xBF, 0x7F, </v>
      </c>
      <c r="P60" t="str">
        <f t="shared" si="10"/>
        <v xml:space="preserve">newArray(0x00, 0x3F, 0xC0, 0x00, 0x3F, 0x7F, 0xBF, 0xFF, 0xC0, 0xFF, 0x3F, 0x80, 0xBF, 0x7F, 0x80, </v>
      </c>
      <c r="Q60" t="str">
        <f t="shared" si="10"/>
        <v xml:space="preserve">newArray(0x00, 0x3F, 0xC0, 0x00, 0x3F, 0x7F, 0xBF, 0xFF, 0xC0, 0xFF, 0x3F, 0x80, 0xBF, 0x7F, 0x80, 0x00, </v>
      </c>
      <c r="R60" t="str">
        <f t="shared" si="10"/>
        <v xml:space="preserve">newArray(0x00, 0x3F, 0xC0, 0x00, 0x3F, 0x7F, 0xBF, 0xFF, 0xC0, 0xFF, 0x3F, 0x80, 0xBF, 0x7F, 0x80, 0x00, 0x3F, </v>
      </c>
      <c r="S60" t="str">
        <f t="shared" si="10"/>
        <v xml:space="preserve">newArray(0x00, 0x3F, 0xC0, 0x00, 0x3F, 0x7F, 0xBF, 0xFF, 0xC0, 0xFF, 0x3F, 0x80, 0xBF, 0x7F, 0x80, 0x00, 0x3F, 0x7F, </v>
      </c>
      <c r="T60" t="str">
        <f t="shared" si="10"/>
        <v xml:space="preserve">newArray(0x00, 0x3F, 0xC0, 0x00, 0x3F, 0x7F, 0xBF, 0xFF, 0xC0, 0xFF, 0x3F, 0x80, 0xBF, 0x7F, 0x80, 0x00, 0x3F, 0x7F, 0xBF, </v>
      </c>
      <c r="U60" t="str">
        <f t="shared" si="10"/>
        <v xml:space="preserve">newArray(0x00, 0x3F, 0xC0, 0x00, 0x3F, 0x7F, 0xBF, 0xFF, 0xC0, 0xFF, 0x3F, 0x80, 0xBF, 0x7F, 0x80, 0x00, 0x3F, 0x7F, 0xBF, 0xFF, </v>
      </c>
      <c r="V60" t="str">
        <f t="shared" si="10"/>
        <v xml:space="preserve">newArray(0x00, 0x3F, 0xC0, 0x00, 0x3F, 0x7F, 0xBF, 0xFF, 0xC0, 0xFF, 0x3F, 0x80, 0xBF, 0x7F, 0x80, 0x00, 0x3F, 0x7F, 0xBF, 0xFF, 0xBF, </v>
      </c>
      <c r="W60" t="str">
        <f t="shared" si="10"/>
        <v xml:space="preserve">newArray(0x00, 0x3F, 0xC0, 0x00, 0x3F, 0x7F, 0xBF, 0xFF, 0xC0, 0xFF, 0x3F, 0x80, 0xBF, 0x7F, 0x80, 0x00, 0x3F, 0x7F, 0xBF, 0xFF, 0xBF, 0xC0, </v>
      </c>
      <c r="X60" t="str">
        <f t="shared" si="10"/>
        <v xml:space="preserve">newArray(0x00, 0x3F, 0xC0, 0x00, 0x3F, 0x7F, 0xBF, 0xFF, 0xC0, 0xFF, 0x3F, 0x80, 0xBF, 0x7F, 0x80, 0x00, 0x3F, 0x7F, 0xBF, 0xFF, 0xBF, 0xC0, 0x3F, </v>
      </c>
      <c r="Y60" t="str">
        <f t="shared" si="10"/>
        <v xml:space="preserve">newArray(0x00, 0x3F, 0xC0, 0x00, 0x3F, 0x7F, 0xBF, 0xFF, 0xC0, 0xFF, 0x3F, 0x80, 0xBF, 0x7F, 0x80, 0x00, 0x3F, 0x7F, 0xBF, 0xFF, 0xBF, 0xC0, 0x3F, 0xFF, </v>
      </c>
      <c r="Z60" t="str">
        <f t="shared" si="10"/>
        <v xml:space="preserve">newArray(0x00, 0x3F, 0xC0, 0x00, 0x3F, 0x7F, 0xBF, 0xFF, 0xC0, 0xFF, 0x3F, 0x80, 0xBF, 0x7F, 0x80, 0x00, 0x3F, 0x7F, 0xBF, 0xFF, 0xBF, 0xC0, 0x3F, 0xFF, 0x80, </v>
      </c>
      <c r="AA60" t="str">
        <f t="shared" si="10"/>
        <v xml:space="preserve">newArray(0x00, 0x3F, 0xC0, 0x00, 0x3F, 0x7F, 0xBF, 0xFF, 0xC0, 0xFF, 0x3F, 0x80, 0xBF, 0x7F, 0x80, 0x00, 0x3F, 0x7F, 0xBF, 0xFF, 0xBF, 0xC0, 0x3F, 0xFF, 0x80, 0xFF, </v>
      </c>
      <c r="AB60" t="str">
        <f t="shared" si="10"/>
        <v xml:space="preserve">newArray(0x00, 0x3F, 0xC0, 0x00, 0x3F, 0x7F, 0xBF, 0xFF, 0xC0, 0xFF, 0x3F, 0x80, 0xBF, 0x7F, 0x80, 0x00, 0x3F, 0x7F, 0xBF, 0xFF, 0xBF, 0xC0, 0x3F, 0xFF, 0x80, 0xFF, 0xBF, </v>
      </c>
      <c r="AC60" t="str">
        <f t="shared" si="10"/>
        <v xml:space="preserve">newArray(0x00, 0x3F, 0xC0, 0x00, 0x3F, 0x7F, 0xBF, 0xFF, 0xC0, 0xFF, 0x3F, 0x80, 0xBF, 0x7F, 0x80, 0x00, 0x3F, 0x7F, 0xBF, 0xFF, 0xBF, 0xC0, 0x3F, 0xFF, 0x80, 0xFF, 0xBF, 0x40, </v>
      </c>
      <c r="AD60" t="str">
        <f t="shared" si="10"/>
        <v xml:space="preserve">newArray(0x00, 0x3F, 0xC0, 0x00, 0x3F, 0x7F, 0xBF, 0xFF, 0xC0, 0xFF, 0x3F, 0x80, 0xBF, 0x7F, 0x80, 0x00, 0x3F, 0x7F, 0xBF, 0xFF, 0xBF, 0xC0, 0x3F, 0xFF, 0x80, 0xFF, 0xBF, 0x40, 0x00, </v>
      </c>
      <c r="AE60" t="str">
        <f t="shared" si="10"/>
        <v xml:space="preserve">newArray(0x00, 0x3F, 0xC0, 0x00, 0x3F, 0x7F, 0xBF, 0xFF, 0xC0, 0xFF, 0x3F, 0x80, 0xBF, 0x7F, 0x80, 0x00, 0x3F, 0x7F, 0xBF, 0xFF, 0xBF, 0xC0, 0x3F, 0xFF, 0x80, 0xFF, 0xBF, 0x40, 0x00, 0x3F, </v>
      </c>
      <c r="AF60" t="str">
        <f t="shared" si="10"/>
        <v xml:space="preserve">newArray(0x00, 0x3F, 0xC0, 0x00, 0x3F, 0x7F, 0xBF, 0xFF, 0xC0, 0xFF, 0x3F, 0x80, 0xBF, 0x7F, 0x80, 0x00, 0x3F, 0x7F, 0xBF, 0xFF, 0xBF, 0xC0, 0x3F, 0xFF, 0x80, 0xFF, 0xBF, 0x40, 0x00, 0x3F, 0x7F, </v>
      </c>
      <c r="AG60" t="str">
        <f t="shared" si="10"/>
        <v xml:space="preserve">newArray(0x00, 0x3F, 0xC0, 0x00, 0x3F, 0x7F, 0xBF, 0xFF, 0xC0, 0xFF, 0x3F, 0x80, 0xBF, 0x7F, 0x80, 0x00, 0x3F, 0x7F, 0xBF, 0xFF, 0xBF, 0xC0, 0x3F, 0xFF, 0x80, 0xFF, 0xBF, 0x40, 0x00, 0x3F, 0x7F, 0xBF, </v>
      </c>
      <c r="AH60" t="str">
        <f t="shared" si="10"/>
        <v xml:space="preserve">newArray(0x00, 0x3F, 0xC0, 0x00, 0x3F, 0x7F, 0xBF, 0xFF, 0xC0, 0xFF, 0x3F, 0x80, 0xBF, 0x7F, 0x80, 0x00, 0x3F, 0x7F, 0xBF, 0xFF, 0xBF, 0xC0, 0x3F, 0xFF, 0x80, 0xFF, 0xBF, 0x40, 0x00, 0x3F, 0x7F, 0xBF, 0xFF, </v>
      </c>
      <c r="AI60" t="str">
        <f t="shared" si="10"/>
        <v xml:space="preserve">newArray(0x00, 0x3F, 0xC0, 0x00, 0x3F, 0x7F, 0xBF, 0xFF, 0xC0, 0xFF, 0x3F, 0x80, 0xBF, 0x7F, 0x80, 0x00, 0x3F, 0x7F, 0xBF, 0xFF, 0xBF, 0xC0, 0x3F, 0xFF, 0x80, 0xFF, 0xBF, 0x40, 0x00, 0x3F, 0x7F, 0xBF, 0xFF, 0x00, </v>
      </c>
      <c r="AJ60" t="str">
        <f t="shared" si="10"/>
        <v xml:space="preserve">newArray(0x00, 0x3F, 0xC0, 0x00, 0x3F, 0x7F, 0xBF, 0xFF, 0xC0, 0xFF, 0x3F, 0x80, 0xBF, 0x7F, 0x80, 0x00, 0x3F, 0x7F, 0xBF, 0xFF, 0xBF, 0xC0, 0x3F, 0xFF, 0x80, 0xFF, 0xBF, 0x40, 0x00, 0x3F, 0x7F, 0xBF, 0xFF, 0x00, 0x00, </v>
      </c>
      <c r="AK60" t="str">
        <f t="shared" si="10"/>
        <v xml:space="preserve">newArray(0x00, 0x3F, 0xC0, 0x00, 0x3F, 0x7F, 0xBF, 0xFF, 0xC0, 0xFF, 0x3F, 0x80, 0xBF, 0x7F, 0x80, 0x00, 0x3F, 0x7F, 0xBF, 0xFF, 0xBF, 0xC0, 0x3F, 0xFF, 0x80, 0xFF, 0xBF, 0x40, 0x00, 0x3F, 0x7F, 0xBF, 0xFF, 0x00, 0x00, 0x7F, </v>
      </c>
      <c r="AL60" t="str">
        <f t="shared" si="10"/>
        <v xml:space="preserve">newArray(0x00, 0x3F, 0xC0, 0x00, 0x3F, 0x7F, 0xBF, 0xFF, 0xC0, 0xFF, 0x3F, 0x80, 0xBF, 0x7F, 0x80, 0x00, 0x3F, 0x7F, 0xBF, 0xFF, 0xBF, 0xC0, 0x3F, 0xFF, 0x80, 0xFF, 0xBF, 0x40, 0x00, 0x3F, 0x7F, 0xBF, 0xFF, 0x00, 0x00, 0x7F, 0xFF, </v>
      </c>
    </row>
    <row r="61" spans="1:38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</row>
    <row r="62" spans="1:38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</row>
    <row r="63" spans="1:38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</row>
  </sheetData>
  <sortState ref="AD2:AI38">
    <sortCondition ref="AI2:AI38"/>
  </sortState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workbookViewId="0"/>
  </sheetViews>
  <sheetFormatPr defaultRowHeight="15"/>
  <sheetData>
    <row r="1" spans="1:1">
      <c r="A1" t="s">
        <v>51</v>
      </c>
    </row>
    <row r="3" spans="1:1">
      <c r="A3" t="s">
        <v>52</v>
      </c>
    </row>
    <row r="4" spans="1:1">
      <c r="A4" t="s">
        <v>53</v>
      </c>
    </row>
    <row r="5" spans="1:1">
      <c r="A5" t="s">
        <v>54</v>
      </c>
    </row>
    <row r="6" spans="1:1">
      <c r="A6" t="s">
        <v>55</v>
      </c>
    </row>
    <row r="7" spans="1:1">
      <c r="A7" t="s">
        <v>56</v>
      </c>
    </row>
    <row r="8" spans="1:1">
      <c r="A8" t="s">
        <v>57</v>
      </c>
    </row>
    <row r="9" spans="1:1">
      <c r="A9" t="s">
        <v>58</v>
      </c>
    </row>
    <row r="10" spans="1:1">
      <c r="A10" t="s">
        <v>59</v>
      </c>
    </row>
    <row r="11" spans="1:1">
      <c r="A11" t="s">
        <v>60</v>
      </c>
    </row>
    <row r="12" spans="1:1">
      <c r="A12" t="s">
        <v>61</v>
      </c>
    </row>
    <row r="13" spans="1:1">
      <c r="A13" t="s">
        <v>62</v>
      </c>
    </row>
    <row r="14" spans="1:1">
      <c r="A14" t="s">
        <v>63</v>
      </c>
    </row>
    <row r="15" spans="1:1">
      <c r="A15" t="s">
        <v>64</v>
      </c>
    </row>
    <row r="16" spans="1:1">
      <c r="A16" t="s">
        <v>65</v>
      </c>
    </row>
    <row r="17" spans="1:1">
      <c r="A17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activeCell="N2" sqref="N2"/>
    </sheetView>
  </sheetViews>
  <sheetFormatPr defaultColWidth="2.7109375" defaultRowHeight="15"/>
  <sheetData>
    <row r="1" spans="1:13">
      <c r="A1">
        <v>0</v>
      </c>
      <c r="B1">
        <v>4</v>
      </c>
      <c r="C1" s="1">
        <v>4</v>
      </c>
      <c r="I1">
        <v>4</v>
      </c>
      <c r="J1">
        <v>4</v>
      </c>
      <c r="L1">
        <v>4</v>
      </c>
      <c r="M1">
        <v>4</v>
      </c>
    </row>
    <row r="2" spans="1:13">
      <c r="A2">
        <v>1</v>
      </c>
      <c r="B2">
        <v>4</v>
      </c>
      <c r="C2" s="1">
        <v>2</v>
      </c>
      <c r="I2">
        <v>4</v>
      </c>
      <c r="J2">
        <v>2</v>
      </c>
      <c r="L2">
        <v>2</v>
      </c>
      <c r="M2">
        <v>2</v>
      </c>
    </row>
    <row r="3" spans="1:13">
      <c r="A3">
        <v>2</v>
      </c>
      <c r="B3">
        <v>4</v>
      </c>
      <c r="C3" s="1">
        <v>1</v>
      </c>
    </row>
    <row r="4" spans="1:13">
      <c r="A4">
        <v>3</v>
      </c>
      <c r="B4">
        <v>4</v>
      </c>
      <c r="C4" s="1">
        <v>3</v>
      </c>
    </row>
    <row r="5" spans="1:13">
      <c r="A5">
        <v>4</v>
      </c>
      <c r="B5">
        <v>4</v>
      </c>
      <c r="C5" s="1">
        <v>0</v>
      </c>
    </row>
    <row r="6" spans="1:13">
      <c r="A6">
        <v>5</v>
      </c>
      <c r="B6">
        <v>0</v>
      </c>
      <c r="C6" s="1">
        <v>2</v>
      </c>
    </row>
    <row r="7" spans="1:13">
      <c r="A7">
        <v>6</v>
      </c>
      <c r="B7">
        <v>0</v>
      </c>
      <c r="C7" s="1">
        <v>1</v>
      </c>
    </row>
    <row r="8" spans="1:13">
      <c r="A8">
        <v>7</v>
      </c>
      <c r="B8">
        <v>0</v>
      </c>
      <c r="C8" s="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workbookViewId="0">
      <selection activeCell="I6" sqref="I6"/>
    </sheetView>
  </sheetViews>
  <sheetFormatPr defaultRowHeight="15"/>
  <sheetData>
    <row r="1" spans="1:17">
      <c r="N1" t="s">
        <v>69</v>
      </c>
      <c r="O1" t="s">
        <v>70</v>
      </c>
      <c r="P1" t="s">
        <v>71</v>
      </c>
      <c r="Q1" t="s">
        <v>73</v>
      </c>
    </row>
    <row r="2" spans="1:17">
      <c r="N2">
        <v>0</v>
      </c>
      <c r="O2">
        <v>8080</v>
      </c>
      <c r="P2" t="s">
        <v>72</v>
      </c>
      <c r="Q2" t="str">
        <f>DEC2HEX(Q3)</f>
        <v>552AD5</v>
      </c>
    </row>
    <row r="3" spans="1:17">
      <c r="N3">
        <f>HEX2DEC(N2)</f>
        <v>0</v>
      </c>
      <c r="O3">
        <f t="shared" ref="O3:P3" si="0">HEX2DEC(O2)</f>
        <v>32896</v>
      </c>
      <c r="P3">
        <f t="shared" si="0"/>
        <v>16711680</v>
      </c>
      <c r="Q3">
        <f>AVERAGE(N3:P3)</f>
        <v>5581525.333333333</v>
      </c>
    </row>
    <row r="5" spans="1:17">
      <c r="A5" t="s">
        <v>50</v>
      </c>
      <c r="B5" s="5" t="s">
        <v>7</v>
      </c>
      <c r="C5" s="5" t="s">
        <v>8</v>
      </c>
      <c r="D5" s="5" t="s">
        <v>4</v>
      </c>
      <c r="E5" s="5" t="s">
        <v>5</v>
      </c>
      <c r="F5" s="5" t="s">
        <v>48</v>
      </c>
      <c r="G5" s="5" t="s">
        <v>68</v>
      </c>
    </row>
    <row r="6" spans="1:17">
      <c r="A6">
        <v>0</v>
      </c>
      <c r="B6" s="1">
        <v>0</v>
      </c>
      <c r="C6" s="1">
        <v>0</v>
      </c>
      <c r="D6" s="1">
        <v>1</v>
      </c>
      <c r="E6" s="1">
        <v>1</v>
      </c>
      <c r="F6" s="1" t="s">
        <v>11</v>
      </c>
      <c r="G6">
        <f>HEX2DEC(F6)</f>
        <v>0</v>
      </c>
    </row>
    <row r="7" spans="1:17">
      <c r="A7">
        <v>1</v>
      </c>
      <c r="B7" s="1">
        <v>1</v>
      </c>
      <c r="C7" s="1">
        <v>0</v>
      </c>
      <c r="D7" s="1">
        <v>1</v>
      </c>
      <c r="E7" s="1">
        <v>1</v>
      </c>
      <c r="F7" s="1" t="s">
        <v>13</v>
      </c>
      <c r="G7">
        <f>HEX2DEC(F7)</f>
        <v>63</v>
      </c>
    </row>
    <row r="8" spans="1:17">
      <c r="A8">
        <v>2</v>
      </c>
      <c r="B8" s="1">
        <v>4</v>
      </c>
      <c r="C8" s="1">
        <v>0</v>
      </c>
      <c r="D8" s="1">
        <v>1</v>
      </c>
      <c r="E8" s="1">
        <v>1</v>
      </c>
      <c r="F8" s="1" t="s">
        <v>19</v>
      </c>
      <c r="G8">
        <f t="shared" ref="G8:G42" si="1">HEX2DEC(F8)</f>
        <v>16320</v>
      </c>
    </row>
    <row r="9" spans="1:17">
      <c r="A9">
        <v>3</v>
      </c>
      <c r="B9" s="1">
        <v>2</v>
      </c>
      <c r="C9" s="1">
        <v>0</v>
      </c>
      <c r="D9" s="1">
        <v>1</v>
      </c>
      <c r="E9" s="1">
        <v>1</v>
      </c>
      <c r="F9" s="1" t="s">
        <v>15</v>
      </c>
      <c r="G9">
        <f t="shared" si="1"/>
        <v>4177920</v>
      </c>
    </row>
    <row r="10" spans="1:17">
      <c r="A10">
        <v>4</v>
      </c>
      <c r="B10" s="1">
        <v>3</v>
      </c>
      <c r="C10" s="1">
        <v>0</v>
      </c>
      <c r="D10" s="1">
        <v>1</v>
      </c>
      <c r="E10" s="1">
        <v>1</v>
      </c>
      <c r="F10" s="1" t="s">
        <v>17</v>
      </c>
      <c r="G10">
        <f t="shared" si="1"/>
        <v>4177983</v>
      </c>
    </row>
    <row r="11" spans="1:17">
      <c r="A11">
        <v>5</v>
      </c>
      <c r="B11" s="1">
        <v>3</v>
      </c>
      <c r="C11" s="1">
        <v>1</v>
      </c>
      <c r="D11" s="1">
        <v>1</v>
      </c>
      <c r="E11" s="1">
        <v>1</v>
      </c>
      <c r="F11" s="1" t="s">
        <v>24</v>
      </c>
      <c r="G11">
        <f t="shared" si="1"/>
        <v>4178047</v>
      </c>
    </row>
    <row r="12" spans="1:17">
      <c r="A12">
        <v>6</v>
      </c>
      <c r="B12" s="1">
        <v>1</v>
      </c>
      <c r="C12" s="1">
        <v>3</v>
      </c>
      <c r="D12" s="1">
        <v>2</v>
      </c>
      <c r="E12" s="1">
        <v>1</v>
      </c>
      <c r="F12" s="1" t="s">
        <v>35</v>
      </c>
      <c r="G12">
        <f t="shared" si="1"/>
        <v>4178111</v>
      </c>
    </row>
    <row r="13" spans="1:17">
      <c r="A13">
        <v>7</v>
      </c>
      <c r="B13" s="1">
        <v>4</v>
      </c>
      <c r="C13" s="1">
        <v>1</v>
      </c>
      <c r="D13" s="1">
        <v>1</v>
      </c>
      <c r="E13" s="1">
        <v>1</v>
      </c>
      <c r="F13" s="1" t="s">
        <v>25</v>
      </c>
      <c r="G13">
        <f t="shared" si="1"/>
        <v>16383</v>
      </c>
    </row>
    <row r="14" spans="1:17">
      <c r="A14">
        <v>8</v>
      </c>
      <c r="B14" s="1">
        <v>4</v>
      </c>
      <c r="C14" s="1">
        <v>2</v>
      </c>
      <c r="D14" s="1">
        <v>1</v>
      </c>
      <c r="E14" s="1">
        <v>1</v>
      </c>
      <c r="F14" s="1" t="s">
        <v>27</v>
      </c>
      <c r="G14">
        <f t="shared" si="1"/>
        <v>4194240</v>
      </c>
    </row>
    <row r="15" spans="1:17">
      <c r="A15">
        <v>9</v>
      </c>
      <c r="B15" s="1">
        <v>4</v>
      </c>
      <c r="C15" s="1">
        <v>3</v>
      </c>
      <c r="D15" s="1">
        <v>1</v>
      </c>
      <c r="E15" s="1">
        <v>1</v>
      </c>
      <c r="F15" s="1" t="s">
        <v>28</v>
      </c>
      <c r="G15">
        <f t="shared" si="1"/>
        <v>4194303</v>
      </c>
    </row>
    <row r="16" spans="1:17">
      <c r="A16">
        <v>10</v>
      </c>
      <c r="B16" s="1">
        <v>1</v>
      </c>
      <c r="C16" s="1">
        <v>4</v>
      </c>
      <c r="D16" s="1">
        <v>2</v>
      </c>
      <c r="E16" s="1">
        <v>1</v>
      </c>
      <c r="F16" s="1" t="s">
        <v>39</v>
      </c>
      <c r="G16">
        <f t="shared" si="1"/>
        <v>16447</v>
      </c>
    </row>
    <row r="17" spans="1:7">
      <c r="A17">
        <v>11</v>
      </c>
      <c r="B17" s="1">
        <v>4</v>
      </c>
      <c r="C17" s="1">
        <v>2</v>
      </c>
      <c r="D17" s="1">
        <v>2</v>
      </c>
      <c r="E17" s="1">
        <v>1</v>
      </c>
      <c r="F17" s="1" t="s">
        <v>34</v>
      </c>
      <c r="G17">
        <f t="shared" si="1"/>
        <v>4210560</v>
      </c>
    </row>
    <row r="18" spans="1:7">
      <c r="A18">
        <v>12</v>
      </c>
      <c r="B18" s="1">
        <v>4</v>
      </c>
      <c r="C18" s="1">
        <v>3</v>
      </c>
      <c r="D18" s="1">
        <v>2</v>
      </c>
      <c r="E18" s="1">
        <v>1</v>
      </c>
      <c r="F18" s="1" t="s">
        <v>38</v>
      </c>
      <c r="G18">
        <f t="shared" si="1"/>
        <v>4210623</v>
      </c>
    </row>
    <row r="19" spans="1:7">
      <c r="A19">
        <v>13</v>
      </c>
      <c r="B19" s="1">
        <v>1</v>
      </c>
      <c r="C19" s="1">
        <v>1</v>
      </c>
      <c r="D19" s="1">
        <v>1</v>
      </c>
      <c r="E19" s="1">
        <v>1</v>
      </c>
      <c r="F19" s="1" t="s">
        <v>12</v>
      </c>
      <c r="G19">
        <f t="shared" si="1"/>
        <v>127</v>
      </c>
    </row>
    <row r="20" spans="1:7">
      <c r="A20">
        <v>14</v>
      </c>
      <c r="B20" s="1">
        <v>4</v>
      </c>
      <c r="C20" s="1">
        <v>4</v>
      </c>
      <c r="D20" s="1">
        <v>1</v>
      </c>
      <c r="E20" s="1">
        <v>1</v>
      </c>
      <c r="F20" s="1" t="s">
        <v>18</v>
      </c>
      <c r="G20">
        <f t="shared" si="1"/>
        <v>32640</v>
      </c>
    </row>
    <row r="21" spans="1:7">
      <c r="A21">
        <v>15</v>
      </c>
      <c r="B21" s="1">
        <v>2</v>
      </c>
      <c r="C21" s="1">
        <v>2</v>
      </c>
      <c r="D21" s="1">
        <v>1</v>
      </c>
      <c r="E21" s="1">
        <v>1</v>
      </c>
      <c r="F21" s="1" t="s">
        <v>14</v>
      </c>
      <c r="G21">
        <f t="shared" si="1"/>
        <v>8355840</v>
      </c>
    </row>
    <row r="22" spans="1:7">
      <c r="A22">
        <v>16</v>
      </c>
      <c r="B22" s="1">
        <v>3</v>
      </c>
      <c r="C22" s="1">
        <v>2</v>
      </c>
      <c r="D22" s="1">
        <v>1</v>
      </c>
      <c r="E22" s="1">
        <v>1</v>
      </c>
      <c r="F22" s="1" t="s">
        <v>26</v>
      </c>
      <c r="G22">
        <f t="shared" si="1"/>
        <v>8355903</v>
      </c>
    </row>
    <row r="23" spans="1:7">
      <c r="A23">
        <v>17</v>
      </c>
      <c r="B23" s="1">
        <v>3</v>
      </c>
      <c r="C23" s="1">
        <v>3</v>
      </c>
      <c r="D23" s="1">
        <v>1</v>
      </c>
      <c r="E23" s="1">
        <v>1</v>
      </c>
      <c r="F23" s="1" t="s">
        <v>16</v>
      </c>
      <c r="G23">
        <f t="shared" si="1"/>
        <v>8355967</v>
      </c>
    </row>
    <row r="24" spans="1:7">
      <c r="A24">
        <v>18</v>
      </c>
      <c r="B24" s="1">
        <v>3</v>
      </c>
      <c r="C24" s="1">
        <v>1</v>
      </c>
      <c r="D24" s="1">
        <v>2</v>
      </c>
      <c r="E24" s="1">
        <v>1</v>
      </c>
      <c r="F24" s="1" t="s">
        <v>30</v>
      </c>
      <c r="G24">
        <f t="shared" si="1"/>
        <v>8356031</v>
      </c>
    </row>
    <row r="25" spans="1:7">
      <c r="A25">
        <v>19</v>
      </c>
      <c r="B25" s="1">
        <v>3</v>
      </c>
      <c r="C25" s="1">
        <v>1</v>
      </c>
      <c r="D25" s="1">
        <v>2</v>
      </c>
      <c r="E25" s="1">
        <v>2</v>
      </c>
      <c r="F25" s="1" t="s">
        <v>43</v>
      </c>
      <c r="G25">
        <f t="shared" si="1"/>
        <v>8356095</v>
      </c>
    </row>
    <row r="26" spans="1:7">
      <c r="A26">
        <v>20</v>
      </c>
      <c r="B26" s="1">
        <v>4</v>
      </c>
      <c r="C26" s="1">
        <v>1</v>
      </c>
      <c r="D26" s="1">
        <v>2</v>
      </c>
      <c r="E26" s="1">
        <v>1</v>
      </c>
      <c r="F26" s="1" t="s">
        <v>31</v>
      </c>
      <c r="G26">
        <f t="shared" si="1"/>
        <v>32703</v>
      </c>
    </row>
    <row r="27" spans="1:7">
      <c r="A27">
        <v>21</v>
      </c>
      <c r="B27" s="1">
        <v>2</v>
      </c>
      <c r="C27" s="1">
        <v>4</v>
      </c>
      <c r="D27" s="1">
        <v>2</v>
      </c>
      <c r="E27" s="1">
        <v>1</v>
      </c>
      <c r="F27" s="1" t="s">
        <v>40</v>
      </c>
      <c r="G27">
        <f t="shared" si="1"/>
        <v>8372160</v>
      </c>
    </row>
    <row r="28" spans="1:7">
      <c r="A28">
        <v>22</v>
      </c>
      <c r="B28" s="1">
        <v>3</v>
      </c>
      <c r="C28" s="1">
        <v>4</v>
      </c>
      <c r="D28" s="1">
        <v>2</v>
      </c>
      <c r="E28" s="1">
        <v>1</v>
      </c>
      <c r="F28" s="1" t="s">
        <v>41</v>
      </c>
      <c r="G28">
        <f t="shared" si="1"/>
        <v>8372287</v>
      </c>
    </row>
    <row r="29" spans="1:7">
      <c r="A29">
        <v>23</v>
      </c>
      <c r="B29" s="1">
        <v>4</v>
      </c>
      <c r="C29" s="1">
        <v>1</v>
      </c>
      <c r="D29" s="1">
        <v>2</v>
      </c>
      <c r="E29" s="1">
        <v>2</v>
      </c>
      <c r="F29" s="1" t="s">
        <v>44</v>
      </c>
      <c r="G29">
        <f t="shared" si="1"/>
        <v>32767</v>
      </c>
    </row>
    <row r="30" spans="1:7">
      <c r="A30">
        <v>24</v>
      </c>
      <c r="B30" s="1">
        <v>4</v>
      </c>
      <c r="C30" s="1">
        <v>2</v>
      </c>
      <c r="D30" s="1">
        <v>2</v>
      </c>
      <c r="E30" s="1">
        <v>2</v>
      </c>
      <c r="F30" s="1" t="s">
        <v>46</v>
      </c>
      <c r="G30">
        <f t="shared" si="1"/>
        <v>8388480</v>
      </c>
    </row>
    <row r="31" spans="1:7">
      <c r="A31">
        <v>25</v>
      </c>
      <c r="B31" s="1">
        <v>4</v>
      </c>
      <c r="C31" s="1">
        <v>3</v>
      </c>
      <c r="D31" s="1">
        <v>2</v>
      </c>
      <c r="E31" s="1">
        <v>2</v>
      </c>
      <c r="F31" s="1" t="s">
        <v>47</v>
      </c>
      <c r="G31">
        <f t="shared" si="1"/>
        <v>8388607</v>
      </c>
    </row>
    <row r="32" spans="1:7">
      <c r="A32">
        <v>26</v>
      </c>
      <c r="B32" s="1">
        <v>1</v>
      </c>
      <c r="C32" s="1">
        <v>1</v>
      </c>
      <c r="D32" s="1">
        <v>2</v>
      </c>
      <c r="E32" s="1">
        <v>1</v>
      </c>
      <c r="F32" s="1" t="s">
        <v>29</v>
      </c>
      <c r="G32">
        <f t="shared" si="1"/>
        <v>191</v>
      </c>
    </row>
    <row r="33" spans="1:7">
      <c r="A33">
        <v>27</v>
      </c>
      <c r="B33" s="1">
        <v>4</v>
      </c>
      <c r="C33" s="1">
        <v>4</v>
      </c>
      <c r="D33" s="1">
        <v>2</v>
      </c>
      <c r="E33" s="1">
        <v>1</v>
      </c>
      <c r="F33" s="1" t="s">
        <v>42</v>
      </c>
      <c r="G33">
        <f t="shared" si="1"/>
        <v>48960</v>
      </c>
    </row>
    <row r="34" spans="1:7">
      <c r="A34">
        <v>28</v>
      </c>
      <c r="B34" s="1">
        <v>2</v>
      </c>
      <c r="C34" s="1">
        <v>2</v>
      </c>
      <c r="D34" s="1">
        <v>2</v>
      </c>
      <c r="E34" s="1">
        <v>1</v>
      </c>
      <c r="F34" s="1" t="s">
        <v>32</v>
      </c>
      <c r="G34">
        <f t="shared" si="1"/>
        <v>12533760</v>
      </c>
    </row>
    <row r="35" spans="1:7">
      <c r="A35">
        <v>29</v>
      </c>
      <c r="B35" s="1">
        <v>2</v>
      </c>
      <c r="C35" s="1">
        <v>3</v>
      </c>
      <c r="D35" s="1">
        <v>2</v>
      </c>
      <c r="E35" s="1">
        <v>1</v>
      </c>
      <c r="F35" s="1" t="s">
        <v>36</v>
      </c>
      <c r="G35">
        <f t="shared" si="1"/>
        <v>12533823</v>
      </c>
    </row>
    <row r="36" spans="1:7">
      <c r="A36">
        <v>30</v>
      </c>
      <c r="B36" s="1">
        <v>3</v>
      </c>
      <c r="C36" s="1">
        <v>2</v>
      </c>
      <c r="D36" s="1">
        <v>2</v>
      </c>
      <c r="E36" s="1">
        <v>1</v>
      </c>
      <c r="F36" s="1" t="s">
        <v>33</v>
      </c>
      <c r="G36">
        <f t="shared" si="1"/>
        <v>12533887</v>
      </c>
    </row>
    <row r="37" spans="1:7">
      <c r="A37">
        <v>31</v>
      </c>
      <c r="B37" s="1">
        <v>3</v>
      </c>
      <c r="C37" s="1">
        <v>3</v>
      </c>
      <c r="D37" s="1">
        <v>2</v>
      </c>
      <c r="E37" s="1">
        <v>1</v>
      </c>
      <c r="F37" s="1" t="s">
        <v>37</v>
      </c>
      <c r="G37">
        <f t="shared" si="1"/>
        <v>12533951</v>
      </c>
    </row>
    <row r="38" spans="1:7">
      <c r="A38">
        <v>32</v>
      </c>
      <c r="B38" s="1">
        <v>1</v>
      </c>
      <c r="C38" s="1">
        <v>1</v>
      </c>
      <c r="D38" s="1">
        <v>2</v>
      </c>
      <c r="E38" s="1">
        <v>2</v>
      </c>
      <c r="F38" s="1" t="s">
        <v>20</v>
      </c>
      <c r="G38">
        <f t="shared" si="1"/>
        <v>255</v>
      </c>
    </row>
    <row r="39" spans="1:7">
      <c r="A39">
        <v>33</v>
      </c>
      <c r="B39" s="1">
        <v>4</v>
      </c>
      <c r="C39" s="1">
        <v>4</v>
      </c>
      <c r="D39" s="1">
        <v>2</v>
      </c>
      <c r="E39" s="1">
        <v>2</v>
      </c>
      <c r="F39" s="1" t="s">
        <v>23</v>
      </c>
      <c r="G39">
        <f t="shared" si="1"/>
        <v>65280</v>
      </c>
    </row>
    <row r="40" spans="1:7">
      <c r="A40">
        <v>34</v>
      </c>
      <c r="B40" s="1">
        <v>2</v>
      </c>
      <c r="C40" s="1">
        <v>2</v>
      </c>
      <c r="D40" s="1">
        <v>2</v>
      </c>
      <c r="E40" s="1">
        <v>2</v>
      </c>
      <c r="F40" s="1" t="s">
        <v>21</v>
      </c>
      <c r="G40">
        <f t="shared" si="1"/>
        <v>16711680</v>
      </c>
    </row>
    <row r="41" spans="1:7">
      <c r="A41">
        <v>35</v>
      </c>
      <c r="B41" s="1">
        <v>3</v>
      </c>
      <c r="C41" s="1">
        <v>2</v>
      </c>
      <c r="D41" s="1">
        <v>2</v>
      </c>
      <c r="E41" s="1">
        <v>2</v>
      </c>
      <c r="F41" s="1" t="s">
        <v>45</v>
      </c>
      <c r="G41">
        <f t="shared" si="1"/>
        <v>16711807</v>
      </c>
    </row>
    <row r="42" spans="1:7">
      <c r="A42">
        <v>36</v>
      </c>
      <c r="B42" s="1">
        <v>3</v>
      </c>
      <c r="C42" s="1">
        <v>3</v>
      </c>
      <c r="D42" s="1">
        <v>2</v>
      </c>
      <c r="E42" s="1">
        <v>2</v>
      </c>
      <c r="F42" s="1" t="s">
        <v>22</v>
      </c>
      <c r="G42">
        <f t="shared" si="1"/>
        <v>16711935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Sheet8</vt:lpstr>
      <vt:lpstr>Sheet7</vt:lpstr>
      <vt:lpstr>Sheet3</vt:lpstr>
      <vt:lpstr>Sheet4</vt:lpstr>
      <vt:lpstr>Sheet5</vt:lpstr>
      <vt:lpstr>Sheet2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Palenicek</dc:creator>
  <cp:lastModifiedBy>Jan Palenicek</cp:lastModifiedBy>
  <dcterms:created xsi:type="dcterms:W3CDTF">2017-04-09T05:24:38Z</dcterms:created>
  <dcterms:modified xsi:type="dcterms:W3CDTF">2017-04-19T21:39:09Z</dcterms:modified>
</cp:coreProperties>
</file>